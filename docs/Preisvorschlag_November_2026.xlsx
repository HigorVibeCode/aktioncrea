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isvorschlag" sheetId="1" state="visible" r:id="rId1"/>
    <sheet xmlns:r="http://schemas.openxmlformats.org/officeDocument/2006/relationships" name="Annahmen" sheetId="2" state="visible" r:id="rId2"/>
    <sheet xmlns:r="http://schemas.openxmlformats.org/officeDocument/2006/relationships" name="Lieferung &amp; Montage" sheetId="3" state="visible" r:id="rId3"/>
    <sheet xmlns:r="http://schemas.openxmlformats.org/officeDocument/2006/relationships" name="Montagezeiten" sheetId="4" state="visible" r:id="rId4"/>
    <sheet xmlns:r="http://schemas.openxmlformats.org/officeDocument/2006/relationships" name="Shop-Abgleich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303030"/>
      </patternFill>
    </fill>
    <fill>
      <patternFill patternType="solid">
        <fgColor rgb="00FFF2CC"/>
      </patternFill>
    </fill>
    <fill>
      <patternFill patternType="solid">
        <fgColor rgb="00E2F0D9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3" fontId="0" fillId="0" borderId="0" pivotButton="0" quotePrefix="0" xfId="0"/>
    <xf numFmtId="3" fontId="0" fillId="3" borderId="0" pivotButton="0" quotePrefix="0" xfId="0"/>
    <xf numFmtId="9" fontId="0" fillId="0" borderId="0" pivotButton="0" quotePrefix="0" xfId="0"/>
    <xf numFmtId="3" fontId="0" fillId="4" borderId="0" pivotButton="0" quotePrefix="0" xfId="0"/>
    <xf numFmtId="0" fontId="0" fillId="5" borderId="0" pivotButton="0" quotePrefix="0" xfId="0"/>
    <xf numFmtId="3" fontId="0" fillId="5" borderId="0" pivotButton="0" quotePrefix="0" xfId="0"/>
    <xf numFmtId="9" fontId="0" fillId="5" borderId="0" pivotButton="0" quotePrefix="0" xfId="0"/>
    <xf numFmtId="0" fontId="1" fillId="2" borderId="0" pivotButton="0" quotePrefix="0" xfId="0"/>
    <xf numFmtId="9" fontId="0" fillId="3" borderId="0" pivotButton="0" quotePrefix="0" xfId="0"/>
    <xf numFmtId="0" fontId="0" fillId="3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Preise" displayName="Preise" ref="A1:U122" headerRowCount="1">
  <autoFilter ref="A1:U122"/>
  <tableColumns count="21">
    <tableColumn id="1" name="Code"/>
    <tableColumn id="2" name="Kategorie"/>
    <tableColumn id="3" name="Titel"/>
    <tableColumn id="4" name="Details"/>
    <tableColumn id="5" name="Status"/>
    <tableColumn id="6" name="Quelle"/>
    <tableColumn id="7" name="Preis CHF"/>
    <tableColumn id="8" name="Shop regulär CHF"/>
    <tableColumn id="9" name="Breite mm"/>
    <tableColumn id="10" name="Höhe mm"/>
    <tableColumn id="11" name="Fläche m²"/>
    <tableColumn id="12" name="Vorschlag CHF"/>
    <tableColumn id="13" name="Entscheid CHF"/>
    <tableColumn id="14" name="Rabatt effektiv"/>
    <tableColumn id="15" name="Montage h min"/>
    <tableColumn id="16" name="Montage h max"/>
    <tableColumn id="17" name="Montage CHF min"/>
    <tableColumn id="18" name="Montage CHF max"/>
    <tableColumn id="19" name="Link Showroom"/>
    <tableColumn id="20" name="Link Shop"/>
    <tableColumn id="21" name="Bemerkung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46" customWidth="1" min="3" max="3"/>
    <col width="46" customWidth="1" min="4" max="4"/>
    <col width="10" customWidth="1" min="5" max="5"/>
    <col width="30" customWidth="1" min="6" max="6"/>
    <col width="11" customWidth="1" min="7" max="7"/>
    <col width="14" customWidth="1" min="8" max="8"/>
    <col width="10" customWidth="1" min="9" max="9"/>
    <col width="10" customWidth="1" min="10" max="10"/>
    <col width="10" customWidth="1" min="11" max="11"/>
    <col width="13" customWidth="1" min="12" max="12"/>
    <col width="13" customWidth="1" min="13" max="13"/>
    <col width="12" customWidth="1" min="14" max="14"/>
    <col width="10" customWidth="1" min="15" max="15"/>
    <col width="10" customWidth="1" min="16" max="16"/>
    <col width="12" customWidth="1" min="17" max="17"/>
    <col width="12" customWidth="1" min="18" max="18"/>
    <col width="13" customWidth="1" min="19" max="19"/>
    <col width="10" customWidth="1" min="20" max="20"/>
    <col width="46" customWidth="1" min="21" max="21"/>
  </cols>
  <sheetData>
    <row r="1">
      <c r="A1" t="inlineStr">
        <is>
          <t>Code</t>
        </is>
      </c>
      <c r="B1" t="inlineStr">
        <is>
          <t>Kategorie</t>
        </is>
      </c>
      <c r="C1" t="inlineStr">
        <is>
          <t>Titel</t>
        </is>
      </c>
      <c r="D1" t="inlineStr">
        <is>
          <t>Details</t>
        </is>
      </c>
      <c r="E1" t="inlineStr">
        <is>
          <t>Status</t>
        </is>
      </c>
      <c r="F1" t="inlineStr">
        <is>
          <t>Quelle</t>
        </is>
      </c>
      <c r="G1" t="inlineStr">
        <is>
          <t>Preis CHF</t>
        </is>
      </c>
      <c r="H1" t="inlineStr">
        <is>
          <t>Shop regulär CHF</t>
        </is>
      </c>
      <c r="I1" t="inlineStr">
        <is>
          <t>Breite mm</t>
        </is>
      </c>
      <c r="J1" t="inlineStr">
        <is>
          <t>Höhe mm</t>
        </is>
      </c>
      <c r="K1" t="inlineStr">
        <is>
          <t>Fläche m²</t>
        </is>
      </c>
      <c r="L1" t="inlineStr">
        <is>
          <t>Vorschlag CHF</t>
        </is>
      </c>
      <c r="M1" t="inlineStr">
        <is>
          <t>Entscheid CHF</t>
        </is>
      </c>
      <c r="N1" t="inlineStr">
        <is>
          <t>Rabatt effektiv</t>
        </is>
      </c>
      <c r="O1" t="inlineStr">
        <is>
          <t>Montage h min</t>
        </is>
      </c>
      <c r="P1" t="inlineStr">
        <is>
          <t>Montage h max</t>
        </is>
      </c>
      <c r="Q1" t="inlineStr">
        <is>
          <t>Montage CHF min</t>
        </is>
      </c>
      <c r="R1" t="inlineStr">
        <is>
          <t>Montage CHF max</t>
        </is>
      </c>
      <c r="S1" t="inlineStr">
        <is>
          <t>Link Showroom</t>
        </is>
      </c>
      <c r="T1" t="inlineStr">
        <is>
          <t>Link Shop</t>
        </is>
      </c>
      <c r="U1" t="inlineStr">
        <is>
          <t>Bemerkung</t>
        </is>
      </c>
    </row>
    <row r="2">
      <c r="A2" t="inlineStr">
        <is>
          <t>GB 01</t>
        </is>
      </c>
      <c r="B2" t="inlineStr">
        <is>
          <t>Neue Glasplatten</t>
        </is>
      </c>
      <c r="C2" t="inlineStr">
        <is>
          <t>Gebogenes Reliefglas mit Wellenringen</t>
        </is>
      </c>
      <c r="D2" t="inlineStr">
        <is>
          <t>Gebogen · Masse auf Anfrage · 10 mm Glas</t>
        </is>
      </c>
      <c r="E2" t="inlineStr">
        <is>
          <t>verfügbar</t>
        </is>
      </c>
      <c r="F2" t="inlineStr">
        <is>
          <t>Preis auf Anfrage</t>
        </is>
      </c>
      <c r="G2" s="1" t="n"/>
      <c r="H2" s="1" t="n"/>
      <c r="K2">
        <f>IF(OR(I2="",J2=""),"",ROUND(I2*J2/1000000,2))</f>
        <v/>
      </c>
      <c r="L2" s="1">
        <f>IF(K2="","",ROUND(K2*Annahmen!$B$8/Annahmen!$B$6,0)*Annahmen!$B$6)</f>
        <v/>
      </c>
      <c r="M2" s="2" t="n"/>
      <c r="N2" s="3">
        <f>IF(OR(G2="",M2=""),"",1-M2/G2)</f>
        <v/>
      </c>
      <c r="O2" t="n">
        <v>2</v>
      </c>
      <c r="P2" t="n">
        <v>4</v>
      </c>
      <c r="Q2" s="1">
        <f>O2*Annahmen!$B$9</f>
        <v/>
      </c>
      <c r="R2" s="1">
        <f>P2*Annahmen!$B$9</f>
        <v/>
      </c>
      <c r="S2">
        <f>HYPERLINK(Annahmen!$B$11&amp;"#artikel/gb-01","Stück öffnen")</f>
        <v/>
      </c>
      <c r="T2" t="inlineStr"/>
      <c r="U2" t="inlineStr">
        <is>
          <t>Nicht im Shop. Masse fehlen – Preis manuell</t>
        </is>
      </c>
    </row>
    <row r="3">
      <c r="A3" t="inlineStr">
        <is>
          <t>GB 02</t>
        </is>
      </c>
      <c r="B3" t="inlineStr">
        <is>
          <t>Neue Glasplatten</t>
        </is>
      </c>
      <c r="C3" t="inlineStr">
        <is>
          <t>Gebogenes Reliefglas mit Palmenmotiv</t>
        </is>
      </c>
      <c r="D3" t="inlineStr">
        <is>
          <t>Gebogen · Masse auf Anfrage · 10 mm Glas</t>
        </is>
      </c>
      <c r="E3" t="inlineStr">
        <is>
          <t>verfügbar</t>
        </is>
      </c>
      <c r="F3" t="inlineStr">
        <is>
          <t>Preis auf Anfrage</t>
        </is>
      </c>
      <c r="G3" s="1" t="n"/>
      <c r="H3" s="1" t="n"/>
      <c r="K3">
        <f>IF(OR(I3="",J3=""),"",ROUND(I3*J3/1000000,2))</f>
        <v/>
      </c>
      <c r="L3" s="1">
        <f>IF(K3="","",ROUND(K3*Annahmen!$B$8/Annahmen!$B$6,0)*Annahmen!$B$6)</f>
        <v/>
      </c>
      <c r="M3" s="2" t="n"/>
      <c r="N3" s="3">
        <f>IF(OR(G3="",M3=""),"",1-M3/G3)</f>
        <v/>
      </c>
      <c r="O3" t="n">
        <v>2</v>
      </c>
      <c r="P3" t="n">
        <v>4</v>
      </c>
      <c r="Q3" s="1">
        <f>O3*Annahmen!$B$9</f>
        <v/>
      </c>
      <c r="R3" s="1">
        <f>P3*Annahmen!$B$9</f>
        <v/>
      </c>
      <c r="S3">
        <f>HYPERLINK(Annahmen!$B$11&amp;"#artikel/gb-02","Stück öffnen")</f>
        <v/>
      </c>
      <c r="T3" t="inlineStr"/>
      <c r="U3" t="inlineStr">
        <is>
          <t>Nicht im Shop. Masse fehlen – Preis manuell</t>
        </is>
      </c>
    </row>
    <row r="4">
      <c r="A4" t="inlineStr">
        <is>
          <t>GB 03</t>
        </is>
      </c>
      <c r="B4" t="inlineStr">
        <is>
          <t>Neue Glasplatten</t>
        </is>
      </c>
      <c r="C4" t="inlineStr">
        <is>
          <t>Reliefglas mit Zellstruktur und geschwungener Kante</t>
        </is>
      </c>
      <c r="D4" t="inlineStr">
        <is>
          <t>Freie Oberkante · Masse auf Anfrage · 10 mm Glas</t>
        </is>
      </c>
      <c r="E4" t="inlineStr">
        <is>
          <t>verfügbar</t>
        </is>
      </c>
      <c r="F4" t="inlineStr">
        <is>
          <t>Preis auf Anfrage</t>
        </is>
      </c>
      <c r="G4" s="1" t="n"/>
      <c r="H4" s="1" t="n"/>
      <c r="K4">
        <f>IF(OR(I4="",J4=""),"",ROUND(I4*J4/1000000,2))</f>
        <v/>
      </c>
      <c r="L4" s="1">
        <f>IF(K4="","",ROUND(K4*Annahmen!$B$8/Annahmen!$B$6,0)*Annahmen!$B$6)</f>
        <v/>
      </c>
      <c r="M4" s="2" t="n"/>
      <c r="N4" s="3">
        <f>IF(OR(G4="",M4=""),"",1-M4/G4)</f>
        <v/>
      </c>
      <c r="O4" t="n">
        <v>2</v>
      </c>
      <c r="P4" t="n">
        <v>4</v>
      </c>
      <c r="Q4" s="1">
        <f>O4*Annahmen!$B$9</f>
        <v/>
      </c>
      <c r="R4" s="1">
        <f>P4*Annahmen!$B$9</f>
        <v/>
      </c>
      <c r="S4">
        <f>HYPERLINK(Annahmen!$B$11&amp;"#artikel/gb-03","Stück öffnen")</f>
        <v/>
      </c>
      <c r="T4" t="inlineStr"/>
      <c r="U4" t="inlineStr">
        <is>
          <t>Nicht im Shop. Masse fehlen – Preis manuell</t>
        </is>
      </c>
    </row>
    <row r="5">
      <c r="A5" t="inlineStr">
        <is>
          <t>GB 04</t>
        </is>
      </c>
      <c r="B5" t="inlineStr">
        <is>
          <t>Neue Glasplatten</t>
        </is>
      </c>
      <c r="C5" t="inlineStr">
        <is>
          <t>Gebogenes Reliefglas mit Reliefmotiv</t>
        </is>
      </c>
      <c r="D5" t="inlineStr">
        <is>
          <t>Gebogen · Masse auf Anfrage · 10 mm Glas</t>
        </is>
      </c>
      <c r="E5" t="inlineStr">
        <is>
          <t>verfügbar</t>
        </is>
      </c>
      <c r="F5" t="inlineStr">
        <is>
          <t>Preis auf Anfrage</t>
        </is>
      </c>
      <c r="G5" s="1" t="n"/>
      <c r="H5" s="1" t="n"/>
      <c r="K5">
        <f>IF(OR(I5="",J5=""),"",ROUND(I5*J5/1000000,2))</f>
        <v/>
      </c>
      <c r="L5" s="1">
        <f>IF(K5="","",ROUND(K5*Annahmen!$B$8/Annahmen!$B$6,0)*Annahmen!$B$6)</f>
        <v/>
      </c>
      <c r="M5" s="2" t="n"/>
      <c r="N5" s="3">
        <f>IF(OR(G5="",M5=""),"",1-M5/G5)</f>
        <v/>
      </c>
      <c r="O5" t="n">
        <v>2</v>
      </c>
      <c r="P5" t="n">
        <v>4</v>
      </c>
      <c r="Q5" s="1">
        <f>O5*Annahmen!$B$9</f>
        <v/>
      </c>
      <c r="R5" s="1">
        <f>P5*Annahmen!$B$9</f>
        <v/>
      </c>
      <c r="S5">
        <f>HYPERLINK(Annahmen!$B$11&amp;"#artikel/gb-04","Stück öffnen")</f>
        <v/>
      </c>
      <c r="T5" t="inlineStr"/>
      <c r="U5" t="inlineStr">
        <is>
          <t>Nicht im Shop. Masse fehlen – Preis manuell</t>
        </is>
      </c>
    </row>
    <row r="6">
      <c r="A6" t="inlineStr">
        <is>
          <t>TW 20</t>
        </is>
      </c>
      <c r="B6" t="inlineStr">
        <is>
          <t>Neue Glasplatten</t>
        </is>
      </c>
      <c r="C6" t="inlineStr">
        <is>
          <t>Strukturglas-Platte mit grober Textur</t>
        </is>
      </c>
      <c r="D6" t="inlineStr">
        <is>
          <t>1040 × 1900 mm · 8 mm Glas</t>
        </is>
      </c>
      <c r="E6" t="inlineStr">
        <is>
          <t>verfügbar</t>
        </is>
      </c>
      <c r="F6" t="inlineStr">
        <is>
          <t>Preis auf Anfrage</t>
        </is>
      </c>
      <c r="G6" s="1" t="n"/>
      <c r="H6" s="1" t="n"/>
      <c r="I6" t="n">
        <v>1040</v>
      </c>
      <c r="J6" t="n">
        <v>1900</v>
      </c>
      <c r="K6">
        <f>IF(OR(I6="",J6=""),"",ROUND(I6*J6/1000000,2))</f>
        <v/>
      </c>
      <c r="L6" s="1">
        <f>IF(K6="","",ROUND(K6*Annahmen!$B$7/Annahmen!$B$6,0)*Annahmen!$B$6)</f>
        <v/>
      </c>
      <c r="M6" s="2" t="n"/>
      <c r="N6" s="3">
        <f>IF(OR(G6="",M6=""),"",1-M6/G6)</f>
        <v/>
      </c>
      <c r="O6" t="n">
        <v>2</v>
      </c>
      <c r="P6" t="n">
        <v>4</v>
      </c>
      <c r="Q6" s="1">
        <f>O6*Annahmen!$B$9</f>
        <v/>
      </c>
      <c r="R6" s="1">
        <f>P6*Annahmen!$B$9</f>
        <v/>
      </c>
      <c r="S6">
        <f>HYPERLINK(Annahmen!$B$11&amp;"#artikel/tw-20","Stück öffnen")</f>
        <v/>
      </c>
      <c r="T6" t="inlineStr"/>
      <c r="U6" t="inlineStr">
        <is>
          <t>Nicht im Shop. Formel Fläche × CHF/m² (Annahme)</t>
        </is>
      </c>
    </row>
    <row r="7">
      <c r="A7" t="inlineStr">
        <is>
          <t>TW 21</t>
        </is>
      </c>
      <c r="B7" t="inlineStr">
        <is>
          <t>Neue Glasplatten</t>
        </is>
      </c>
      <c r="C7" t="inlineStr">
        <is>
          <t>Strukturglas-Platte mit Tiermotiv</t>
        </is>
      </c>
      <c r="D7" t="inlineStr">
        <is>
          <t>885 × 1980 mm · 8 mm Glas</t>
        </is>
      </c>
      <c r="E7" t="inlineStr">
        <is>
          <t>verfügbar</t>
        </is>
      </c>
      <c r="F7" t="inlineStr">
        <is>
          <t>Preis auf Anfrage</t>
        </is>
      </c>
      <c r="G7" s="1" t="n"/>
      <c r="H7" s="1" t="n"/>
      <c r="I7" t="n">
        <v>885</v>
      </c>
      <c r="J7" t="n">
        <v>1980</v>
      </c>
      <c r="K7">
        <f>IF(OR(I7="",J7=""),"",ROUND(I7*J7/1000000,2))</f>
        <v/>
      </c>
      <c r="L7" s="1">
        <f>IF(K7="","",ROUND(K7*Annahmen!$B$7/Annahmen!$B$6,0)*Annahmen!$B$6)</f>
        <v/>
      </c>
      <c r="M7" s="2" t="n"/>
      <c r="N7" s="3">
        <f>IF(OR(G7="",M7=""),"",1-M7/G7)</f>
        <v/>
      </c>
      <c r="O7" t="n">
        <v>2</v>
      </c>
      <c r="P7" t="n">
        <v>4</v>
      </c>
      <c r="Q7" s="1">
        <f>O7*Annahmen!$B$9</f>
        <v/>
      </c>
      <c r="R7" s="1">
        <f>P7*Annahmen!$B$9</f>
        <v/>
      </c>
      <c r="S7">
        <f>HYPERLINK(Annahmen!$B$11&amp;"#artikel/tw-21","Stück öffnen")</f>
        <v/>
      </c>
      <c r="T7" t="inlineStr"/>
      <c r="U7" t="inlineStr">
        <is>
          <t>Nicht im Shop. Formel Fläche × CHF/m² (Annahme)</t>
        </is>
      </c>
    </row>
    <row r="8">
      <c r="A8" t="inlineStr">
        <is>
          <t>TW 22</t>
        </is>
      </c>
      <c r="B8" t="inlineStr">
        <is>
          <t>Neue Glasplatten</t>
        </is>
      </c>
      <c r="C8" t="inlineStr">
        <is>
          <t>Strukturglas-Platte mit feiner Textur</t>
        </is>
      </c>
      <c r="D8" t="inlineStr">
        <is>
          <t>760 × 2030 mm · 8 mm Glas</t>
        </is>
      </c>
      <c r="E8" t="inlineStr">
        <is>
          <t>verfügbar</t>
        </is>
      </c>
      <c r="F8" t="inlineStr">
        <is>
          <t>Preis auf Anfrage</t>
        </is>
      </c>
      <c r="G8" s="1" t="n"/>
      <c r="H8" s="1" t="n"/>
      <c r="I8" t="n">
        <v>760</v>
      </c>
      <c r="J8" t="n">
        <v>2030</v>
      </c>
      <c r="K8">
        <f>IF(OR(I8="",J8=""),"",ROUND(I8*J8/1000000,2))</f>
        <v/>
      </c>
      <c r="L8" s="1">
        <f>IF(K8="","",ROUND(K8*Annahmen!$B$7/Annahmen!$B$6,0)*Annahmen!$B$6)</f>
        <v/>
      </c>
      <c r="M8" s="2" t="n"/>
      <c r="N8" s="3">
        <f>IF(OR(G8="",M8=""),"",1-M8/G8)</f>
        <v/>
      </c>
      <c r="O8" t="n">
        <v>2</v>
      </c>
      <c r="P8" t="n">
        <v>4</v>
      </c>
      <c r="Q8" s="1">
        <f>O8*Annahmen!$B$9</f>
        <v/>
      </c>
      <c r="R8" s="1">
        <f>P8*Annahmen!$B$9</f>
        <v/>
      </c>
      <c r="S8">
        <f>HYPERLINK(Annahmen!$B$11&amp;"#artikel/tw-22","Stück öffnen")</f>
        <v/>
      </c>
      <c r="T8" t="inlineStr"/>
      <c r="U8" t="inlineStr">
        <is>
          <t>Nicht im Shop. Formel Fläche × CHF/m² (Annahme)</t>
        </is>
      </c>
    </row>
    <row r="9">
      <c r="A9" t="inlineStr">
        <is>
          <t>TW 24</t>
        </is>
      </c>
      <c r="B9" t="inlineStr">
        <is>
          <t>Neue Glasplatten</t>
        </is>
      </c>
      <c r="C9" t="inlineStr">
        <is>
          <t>Strukturglas-Platte mit Meeresmotiv</t>
        </is>
      </c>
      <c r="D9" t="inlineStr">
        <is>
          <t>805 × 1975 mm · 8 mm Glas</t>
        </is>
      </c>
      <c r="E9" t="inlineStr">
        <is>
          <t>verfügbar</t>
        </is>
      </c>
      <c r="F9" t="inlineStr">
        <is>
          <t>Preis auf Anfrage</t>
        </is>
      </c>
      <c r="G9" s="1" t="n"/>
      <c r="H9" s="1" t="n"/>
      <c r="I9" t="n">
        <v>805</v>
      </c>
      <c r="J9" t="n">
        <v>1975</v>
      </c>
      <c r="K9">
        <f>IF(OR(I9="",J9=""),"",ROUND(I9*J9/1000000,2))</f>
        <v/>
      </c>
      <c r="L9" s="1">
        <f>IF(K9="","",ROUND(K9*Annahmen!$B$7/Annahmen!$B$6,0)*Annahmen!$B$6)</f>
        <v/>
      </c>
      <c r="M9" s="2" t="n"/>
      <c r="N9" s="3">
        <f>IF(OR(G9="",M9=""),"",1-M9/G9)</f>
        <v/>
      </c>
      <c r="O9" t="n">
        <v>2</v>
      </c>
      <c r="P9" t="n">
        <v>4</v>
      </c>
      <c r="Q9" s="1">
        <f>O9*Annahmen!$B$9</f>
        <v/>
      </c>
      <c r="R9" s="1">
        <f>P9*Annahmen!$B$9</f>
        <v/>
      </c>
      <c r="S9">
        <f>HYPERLINK(Annahmen!$B$11&amp;"#artikel/tw-24","Stück öffnen")</f>
        <v/>
      </c>
      <c r="T9" t="inlineStr"/>
      <c r="U9" t="inlineStr">
        <is>
          <t>Nicht im Shop. Formel Fläche × CHF/m² (Annahme)</t>
        </is>
      </c>
    </row>
    <row r="10">
      <c r="A10" t="inlineStr">
        <is>
          <t>TW 25</t>
        </is>
      </c>
      <c r="B10" t="inlineStr">
        <is>
          <t>Neue Glasplatten</t>
        </is>
      </c>
      <c r="C10" t="inlineStr">
        <is>
          <t>Strukturglas-Platte mit Felsstruktur</t>
        </is>
      </c>
      <c r="D10" t="inlineStr">
        <is>
          <t>800 × 1950 mm · 10 mm Glas</t>
        </is>
      </c>
      <c r="E10" t="inlineStr">
        <is>
          <t>verfügbar</t>
        </is>
      </c>
      <c r="F10" t="inlineStr">
        <is>
          <t>Preis auf Anfrage</t>
        </is>
      </c>
      <c r="G10" s="1" t="n"/>
      <c r="H10" s="1" t="n"/>
      <c r="I10" t="n">
        <v>800</v>
      </c>
      <c r="J10" t="n">
        <v>1950</v>
      </c>
      <c r="K10">
        <f>IF(OR(I10="",J10=""),"",ROUND(I10*J10/1000000,2))</f>
        <v/>
      </c>
      <c r="L10" s="1">
        <f>IF(K10="","",ROUND(K10*Annahmen!$B$8/Annahmen!$B$6,0)*Annahmen!$B$6)</f>
        <v/>
      </c>
      <c r="M10" s="2" t="n"/>
      <c r="N10" s="3">
        <f>IF(OR(G10="",M10=""),"",1-M10/G10)</f>
        <v/>
      </c>
      <c r="O10" t="n">
        <v>2</v>
      </c>
      <c r="P10" t="n">
        <v>4</v>
      </c>
      <c r="Q10" s="1">
        <f>O10*Annahmen!$B$9</f>
        <v/>
      </c>
      <c r="R10" s="1">
        <f>P10*Annahmen!$B$9</f>
        <v/>
      </c>
      <c r="S10">
        <f>HYPERLINK(Annahmen!$B$11&amp;"#artikel/tw-25","Stück öffnen")</f>
        <v/>
      </c>
      <c r="T10" t="inlineStr"/>
      <c r="U10" t="inlineStr">
        <is>
          <t>Nicht im Shop. Formel Fläche × CHF/m² (Annahme)</t>
        </is>
      </c>
    </row>
    <row r="11">
      <c r="A11" t="inlineStr">
        <is>
          <t>TW 26</t>
        </is>
      </c>
      <c r="B11" t="inlineStr">
        <is>
          <t>Neue Glasplatten</t>
        </is>
      </c>
      <c r="C11" t="inlineStr">
        <is>
          <t>Strukturglas-Platte mit Delfinen</t>
        </is>
      </c>
      <c r="D11" t="inlineStr">
        <is>
          <t>605 × 1958 mm · 8 mm Glas</t>
        </is>
      </c>
      <c r="E11" t="inlineStr">
        <is>
          <t>verfügbar</t>
        </is>
      </c>
      <c r="F11" t="inlineStr">
        <is>
          <t>Preis auf Anfrage</t>
        </is>
      </c>
      <c r="G11" s="1" t="n"/>
      <c r="H11" s="1" t="n"/>
      <c r="I11" t="n">
        <v>605</v>
      </c>
      <c r="J11" t="n">
        <v>1958</v>
      </c>
      <c r="K11">
        <f>IF(OR(I11="",J11=""),"",ROUND(I11*J11/1000000,2))</f>
        <v/>
      </c>
      <c r="L11" s="1">
        <f>IF(K11="","",ROUND(K11*Annahmen!$B$7/Annahmen!$B$6,0)*Annahmen!$B$6)</f>
        <v/>
      </c>
      <c r="M11" s="2" t="n"/>
      <c r="N11" s="3">
        <f>IF(OR(G11="",M11=""),"",1-M11/G11)</f>
        <v/>
      </c>
      <c r="O11" t="n">
        <v>2</v>
      </c>
      <c r="P11" t="n">
        <v>4</v>
      </c>
      <c r="Q11" s="1">
        <f>O11*Annahmen!$B$9</f>
        <v/>
      </c>
      <c r="R11" s="1">
        <f>P11*Annahmen!$B$9</f>
        <v/>
      </c>
      <c r="S11">
        <f>HYPERLINK(Annahmen!$B$11&amp;"#artikel/tw-26","Stück öffnen")</f>
        <v/>
      </c>
      <c r="T11" t="inlineStr"/>
      <c r="U11" t="inlineStr">
        <is>
          <t>Nicht im Shop. Formel Fläche × CHF/m² (Annahme)</t>
        </is>
      </c>
    </row>
    <row r="12">
      <c r="A12" t="inlineStr">
        <is>
          <t>TW 28</t>
        </is>
      </c>
      <c r="B12" t="inlineStr">
        <is>
          <t>Neue Glasplatten</t>
        </is>
      </c>
      <c r="C12" t="inlineStr">
        <is>
          <t>Schmale Strukturglas-Platte</t>
        </is>
      </c>
      <c r="D12" t="inlineStr">
        <is>
          <t>530 × 2005 mm · 10 mm Glas</t>
        </is>
      </c>
      <c r="E12" t="inlineStr">
        <is>
          <t>verfügbar</t>
        </is>
      </c>
      <c r="F12" t="inlineStr">
        <is>
          <t>Preis auf Anfrage</t>
        </is>
      </c>
      <c r="G12" s="1" t="n"/>
      <c r="H12" s="1" t="n"/>
      <c r="I12" t="n">
        <v>530</v>
      </c>
      <c r="J12" t="n">
        <v>2005</v>
      </c>
      <c r="K12">
        <f>IF(OR(I12="",J12=""),"",ROUND(I12*J12/1000000,2))</f>
        <v/>
      </c>
      <c r="L12" s="1">
        <f>IF(K12="","",ROUND(K12*Annahmen!$B$8/Annahmen!$B$6,0)*Annahmen!$B$6)</f>
        <v/>
      </c>
      <c r="M12" s="2" t="n"/>
      <c r="N12" s="3">
        <f>IF(OR(G12="",M12=""),"",1-M12/G12)</f>
        <v/>
      </c>
      <c r="O12" t="n">
        <v>2</v>
      </c>
      <c r="P12" t="n">
        <v>4</v>
      </c>
      <c r="Q12" s="1">
        <f>O12*Annahmen!$B$9</f>
        <v/>
      </c>
      <c r="R12" s="1">
        <f>P12*Annahmen!$B$9</f>
        <v/>
      </c>
      <c r="S12">
        <f>HYPERLINK(Annahmen!$B$11&amp;"#artikel/tw-28","Stück öffnen")</f>
        <v/>
      </c>
      <c r="T12" t="inlineStr"/>
      <c r="U12" t="inlineStr">
        <is>
          <t>Nicht im Shop. Formel Fläche × CHF/m² (Annahme)</t>
        </is>
      </c>
    </row>
    <row r="13">
      <c r="A13" t="inlineStr">
        <is>
          <t>TW 29</t>
        </is>
      </c>
      <c r="B13" t="inlineStr">
        <is>
          <t>Neue Glasplatten</t>
        </is>
      </c>
      <c r="C13" t="inlineStr">
        <is>
          <t>Schmale Strukturglas-Platte</t>
        </is>
      </c>
      <c r="D13" t="inlineStr">
        <is>
          <t>505 × 1970 mm · 8 mm Glas</t>
        </is>
      </c>
      <c r="E13" t="inlineStr">
        <is>
          <t>verfügbar</t>
        </is>
      </c>
      <c r="F13" t="inlineStr">
        <is>
          <t>Preis auf Anfrage</t>
        </is>
      </c>
      <c r="G13" s="1" t="n"/>
      <c r="H13" s="1" t="n"/>
      <c r="I13" t="n">
        <v>505</v>
      </c>
      <c r="J13" t="n">
        <v>1970</v>
      </c>
      <c r="K13">
        <f>IF(OR(I13="",J13=""),"",ROUND(I13*J13/1000000,2))</f>
        <v/>
      </c>
      <c r="L13" s="1">
        <f>IF(K13="","",ROUND(K13*Annahmen!$B$7/Annahmen!$B$6,0)*Annahmen!$B$6)</f>
        <v/>
      </c>
      <c r="M13" s="2" t="n"/>
      <c r="N13" s="3">
        <f>IF(OR(G13="",M13=""),"",1-M13/G13)</f>
        <v/>
      </c>
      <c r="O13" t="n">
        <v>2</v>
      </c>
      <c r="P13" t="n">
        <v>4</v>
      </c>
      <c r="Q13" s="1">
        <f>O13*Annahmen!$B$9</f>
        <v/>
      </c>
      <c r="R13" s="1">
        <f>P13*Annahmen!$B$9</f>
        <v/>
      </c>
      <c r="S13">
        <f>HYPERLINK(Annahmen!$B$11&amp;"#artikel/tw-29","Stück öffnen")</f>
        <v/>
      </c>
      <c r="T13" t="inlineStr"/>
      <c r="U13" t="inlineStr">
        <is>
          <t>Nicht im Shop. Formel Fläche × CHF/m² (Annahme)</t>
        </is>
      </c>
    </row>
    <row r="14">
      <c r="A14" t="inlineStr">
        <is>
          <t>TW 31</t>
        </is>
      </c>
      <c r="B14" t="inlineStr">
        <is>
          <t>Neue Glasplatten</t>
        </is>
      </c>
      <c r="C14" t="inlineStr">
        <is>
          <t>Strukturglas-Platte mit Felsstruktur</t>
        </is>
      </c>
      <c r="D14" t="inlineStr">
        <is>
          <t>1005 × 1955 mm · 10 mm Glas</t>
        </is>
      </c>
      <c r="E14" t="inlineStr">
        <is>
          <t>verfügbar</t>
        </is>
      </c>
      <c r="F14" t="inlineStr">
        <is>
          <t>Preis auf Anfrage</t>
        </is>
      </c>
      <c r="G14" s="1" t="n"/>
      <c r="H14" s="1" t="n"/>
      <c r="I14" t="n">
        <v>1005</v>
      </c>
      <c r="J14" t="n">
        <v>1955</v>
      </c>
      <c r="K14">
        <f>IF(OR(I14="",J14=""),"",ROUND(I14*J14/1000000,2))</f>
        <v/>
      </c>
      <c r="L14" s="1">
        <f>IF(K14="","",ROUND(K14*Annahmen!$B$8/Annahmen!$B$6,0)*Annahmen!$B$6)</f>
        <v/>
      </c>
      <c r="M14" s="2" t="n"/>
      <c r="N14" s="3">
        <f>IF(OR(G14="",M14=""),"",1-M14/G14)</f>
        <v/>
      </c>
      <c r="O14" t="n">
        <v>2</v>
      </c>
      <c r="P14" t="n">
        <v>4</v>
      </c>
      <c r="Q14" s="1">
        <f>O14*Annahmen!$B$9</f>
        <v/>
      </c>
      <c r="R14" s="1">
        <f>P14*Annahmen!$B$9</f>
        <v/>
      </c>
      <c r="S14">
        <f>HYPERLINK(Annahmen!$B$11&amp;"#artikel/tw-31","Stück öffnen")</f>
        <v/>
      </c>
      <c r="T14" t="inlineStr"/>
      <c r="U14" t="inlineStr">
        <is>
          <t>Nicht im Shop. Formel Fläche × CHF/m² (Annahme)</t>
        </is>
      </c>
    </row>
    <row r="15">
      <c r="A15" t="inlineStr">
        <is>
          <t>TW 32</t>
        </is>
      </c>
      <c r="B15" t="inlineStr">
        <is>
          <t>Neue Glasplatten</t>
        </is>
      </c>
      <c r="C15" t="inlineStr">
        <is>
          <t>Strukturglas-Platte mit kräftiger Struktur</t>
        </is>
      </c>
      <c r="D15" t="inlineStr">
        <is>
          <t>1035 × 2100 mm · 10 mm Glas</t>
        </is>
      </c>
      <c r="E15" t="inlineStr">
        <is>
          <t>verfügbar</t>
        </is>
      </c>
      <c r="F15" t="inlineStr">
        <is>
          <t>Preis auf Anfrage</t>
        </is>
      </c>
      <c r="G15" s="1" t="n"/>
      <c r="H15" s="1" t="n"/>
      <c r="I15" t="n">
        <v>1035</v>
      </c>
      <c r="J15" t="n">
        <v>2100</v>
      </c>
      <c r="K15">
        <f>IF(OR(I15="",J15=""),"",ROUND(I15*J15/1000000,2))</f>
        <v/>
      </c>
      <c r="L15" s="1">
        <f>IF(K15="","",ROUND(K15*Annahmen!$B$8/Annahmen!$B$6,0)*Annahmen!$B$6)</f>
        <v/>
      </c>
      <c r="M15" s="2" t="n"/>
      <c r="N15" s="3">
        <f>IF(OR(G15="",M15=""),"",1-M15/G15)</f>
        <v/>
      </c>
      <c r="O15" t="n">
        <v>2</v>
      </c>
      <c r="P15" t="n">
        <v>4</v>
      </c>
      <c r="Q15" s="1">
        <f>O15*Annahmen!$B$9</f>
        <v/>
      </c>
      <c r="R15" s="1">
        <f>P15*Annahmen!$B$9</f>
        <v/>
      </c>
      <c r="S15">
        <f>HYPERLINK(Annahmen!$B$11&amp;"#artikel/tw-32","Stück öffnen")</f>
        <v/>
      </c>
      <c r="T15" t="inlineStr"/>
      <c r="U15" t="inlineStr">
        <is>
          <t>Nicht im Shop. Formel Fläche × CHF/m² (Annahme)</t>
        </is>
      </c>
    </row>
    <row r="16">
      <c r="A16" t="inlineStr">
        <is>
          <t>TW 33</t>
        </is>
      </c>
      <c r="B16" t="inlineStr">
        <is>
          <t>Neue Glasplatten</t>
        </is>
      </c>
      <c r="C16" t="inlineStr">
        <is>
          <t>Strukturglas-Platte mit Reliefstruktur</t>
        </is>
      </c>
      <c r="D16" t="inlineStr">
        <is>
          <t>1050 × 2000 mm · 10 mm Glas</t>
        </is>
      </c>
      <c r="E16" t="inlineStr">
        <is>
          <t>verfügbar</t>
        </is>
      </c>
      <c r="F16" t="inlineStr">
        <is>
          <t>Preis auf Anfrage</t>
        </is>
      </c>
      <c r="G16" s="1" t="n"/>
      <c r="H16" s="1" t="n"/>
      <c r="I16" t="n">
        <v>1050</v>
      </c>
      <c r="J16" t="n">
        <v>2000</v>
      </c>
      <c r="K16">
        <f>IF(OR(I16="",J16=""),"",ROUND(I16*J16/1000000,2))</f>
        <v/>
      </c>
      <c r="L16" s="1">
        <f>IF(K16="","",ROUND(K16*Annahmen!$B$8/Annahmen!$B$6,0)*Annahmen!$B$6)</f>
        <v/>
      </c>
      <c r="M16" s="2" t="n"/>
      <c r="N16" s="3">
        <f>IF(OR(G16="",M16=""),"",1-M16/G16)</f>
        <v/>
      </c>
      <c r="O16" t="n">
        <v>2</v>
      </c>
      <c r="P16" t="n">
        <v>4</v>
      </c>
      <c r="Q16" s="1">
        <f>O16*Annahmen!$B$9</f>
        <v/>
      </c>
      <c r="R16" s="1">
        <f>P16*Annahmen!$B$9</f>
        <v/>
      </c>
      <c r="S16">
        <f>HYPERLINK(Annahmen!$B$11&amp;"#artikel/tw-33","Stück öffnen")</f>
        <v/>
      </c>
      <c r="T16" t="inlineStr"/>
      <c r="U16" t="inlineStr">
        <is>
          <t>Nicht im Shop. Formel Fläche × CHF/m² (Annahme)</t>
        </is>
      </c>
    </row>
    <row r="17">
      <c r="A17" t="inlineStr">
        <is>
          <t>TW 34</t>
        </is>
      </c>
      <c r="B17" t="inlineStr">
        <is>
          <t>Neue Glasplatten</t>
        </is>
      </c>
      <c r="C17" t="inlineStr">
        <is>
          <t>Strukturglas-Platte mit Felsstruktur</t>
        </is>
      </c>
      <c r="D17" t="inlineStr">
        <is>
          <t>1100 × 2000 mm · 10 mm Glas</t>
        </is>
      </c>
      <c r="E17" t="inlineStr">
        <is>
          <t>verfügbar</t>
        </is>
      </c>
      <c r="F17" t="inlineStr">
        <is>
          <t>Preis auf Anfrage</t>
        </is>
      </c>
      <c r="G17" s="1" t="n"/>
      <c r="H17" s="1" t="n"/>
      <c r="I17" t="n">
        <v>1100</v>
      </c>
      <c r="J17" t="n">
        <v>2000</v>
      </c>
      <c r="K17">
        <f>IF(OR(I17="",J17=""),"",ROUND(I17*J17/1000000,2))</f>
        <v/>
      </c>
      <c r="L17" s="1">
        <f>IF(K17="","",ROUND(K17*Annahmen!$B$8/Annahmen!$B$6,0)*Annahmen!$B$6)</f>
        <v/>
      </c>
      <c r="M17" s="2" t="n"/>
      <c r="N17" s="3">
        <f>IF(OR(G17="",M17=""),"",1-M17/G17)</f>
        <v/>
      </c>
      <c r="O17" t="n">
        <v>2</v>
      </c>
      <c r="P17" t="n">
        <v>4</v>
      </c>
      <c r="Q17" s="1">
        <f>O17*Annahmen!$B$9</f>
        <v/>
      </c>
      <c r="R17" s="1">
        <f>P17*Annahmen!$B$9</f>
        <v/>
      </c>
      <c r="S17">
        <f>HYPERLINK(Annahmen!$B$11&amp;"#artikel/tw-34","Stück öffnen")</f>
        <v/>
      </c>
      <c r="T17" t="inlineStr"/>
      <c r="U17" t="inlineStr">
        <is>
          <t>Nicht im Shop. Formel Fläche × CHF/m² (Annahme)</t>
        </is>
      </c>
    </row>
    <row r="18">
      <c r="A18" t="inlineStr">
        <is>
          <t>TW 35</t>
        </is>
      </c>
      <c r="B18" t="inlineStr">
        <is>
          <t>Neue Glasplatten</t>
        </is>
      </c>
      <c r="C18" t="inlineStr">
        <is>
          <t>Breite Strukturglas-Platte mit geschwungener Kante</t>
        </is>
      </c>
      <c r="D18" t="inlineStr">
        <is>
          <t>1250 × 1950 mm · 10 mm Glas</t>
        </is>
      </c>
      <c r="E18" t="inlineStr">
        <is>
          <t>verfügbar</t>
        </is>
      </c>
      <c r="F18" t="inlineStr">
        <is>
          <t>Preis auf Anfrage</t>
        </is>
      </c>
      <c r="G18" s="1" t="n"/>
      <c r="H18" s="1" t="n"/>
      <c r="I18" t="n">
        <v>1250</v>
      </c>
      <c r="J18" t="n">
        <v>1950</v>
      </c>
      <c r="K18">
        <f>IF(OR(I18="",J18=""),"",ROUND(I18*J18/1000000,2))</f>
        <v/>
      </c>
      <c r="L18" s="1">
        <f>IF(K18="","",ROUND(K18*Annahmen!$B$8/Annahmen!$B$6,0)*Annahmen!$B$6)</f>
        <v/>
      </c>
      <c r="M18" s="2" t="n"/>
      <c r="N18" s="3">
        <f>IF(OR(G18="",M18=""),"",1-M18/G18)</f>
        <v/>
      </c>
      <c r="O18" t="n">
        <v>2</v>
      </c>
      <c r="P18" t="n">
        <v>4</v>
      </c>
      <c r="Q18" s="1">
        <f>O18*Annahmen!$B$9</f>
        <v/>
      </c>
      <c r="R18" s="1">
        <f>P18*Annahmen!$B$9</f>
        <v/>
      </c>
      <c r="S18">
        <f>HYPERLINK(Annahmen!$B$11&amp;"#artikel/tw-35","Stück öffnen")</f>
        <v/>
      </c>
      <c r="T18" t="inlineStr"/>
      <c r="U18" t="inlineStr">
        <is>
          <t>Nicht im Shop. Formel Fläche × CHF/m² (Annahme)</t>
        </is>
      </c>
    </row>
    <row r="19">
      <c r="A19" t="inlineStr">
        <is>
          <t>TW 36</t>
        </is>
      </c>
      <c r="B19" t="inlineStr">
        <is>
          <t>Neue Glasplatten</t>
        </is>
      </c>
      <c r="C19" t="inlineStr">
        <is>
          <t>Strukturglas-Platte mit Linienstruktur</t>
        </is>
      </c>
      <c r="D19" t="inlineStr">
        <is>
          <t>1200 × 2000 mm · 8 mm Glas</t>
        </is>
      </c>
      <c r="E19" t="inlineStr">
        <is>
          <t>verfügbar</t>
        </is>
      </c>
      <c r="F19" t="inlineStr">
        <is>
          <t>Preis auf Anfrage</t>
        </is>
      </c>
      <c r="G19" s="1" t="n"/>
      <c r="H19" s="1" t="n"/>
      <c r="I19" t="n">
        <v>1200</v>
      </c>
      <c r="J19" t="n">
        <v>2000</v>
      </c>
      <c r="K19">
        <f>IF(OR(I19="",J19=""),"",ROUND(I19*J19/1000000,2))</f>
        <v/>
      </c>
      <c r="L19" s="1">
        <f>IF(K19="","",ROUND(K19*Annahmen!$B$7/Annahmen!$B$6,0)*Annahmen!$B$6)</f>
        <v/>
      </c>
      <c r="M19" s="2" t="n"/>
      <c r="N19" s="3">
        <f>IF(OR(G19="",M19=""),"",1-M19/G19)</f>
        <v/>
      </c>
      <c r="O19" t="n">
        <v>2</v>
      </c>
      <c r="P19" t="n">
        <v>4</v>
      </c>
      <c r="Q19" s="1">
        <f>O19*Annahmen!$B$9</f>
        <v/>
      </c>
      <c r="R19" s="1">
        <f>P19*Annahmen!$B$9</f>
        <v/>
      </c>
      <c r="S19">
        <f>HYPERLINK(Annahmen!$B$11&amp;"#artikel/tw-36","Stück öffnen")</f>
        <v/>
      </c>
      <c r="T19" t="inlineStr"/>
      <c r="U19" t="inlineStr">
        <is>
          <t>Nicht im Shop. Formel Fläche × CHF/m² (Annahme)</t>
        </is>
      </c>
    </row>
    <row r="20">
      <c r="A20" t="inlineStr">
        <is>
          <t>TW 37</t>
        </is>
      </c>
      <c r="B20" t="inlineStr">
        <is>
          <t>Neue Glasplatten</t>
        </is>
      </c>
      <c r="C20" t="inlineStr">
        <is>
          <t>Strukturglas-Platte mit feiner Linienstruktur</t>
        </is>
      </c>
      <c r="D20" t="inlineStr">
        <is>
          <t>Masse auf Anfrage · 8 mm Glas</t>
        </is>
      </c>
      <c r="E20" t="inlineStr">
        <is>
          <t>verfügbar</t>
        </is>
      </c>
      <c r="F20" t="inlineStr">
        <is>
          <t>Preis auf Anfrage</t>
        </is>
      </c>
      <c r="G20" s="1" t="n"/>
      <c r="H20" s="1" t="n"/>
      <c r="K20">
        <f>IF(OR(I20="",J20=""),"",ROUND(I20*J20/1000000,2))</f>
        <v/>
      </c>
      <c r="L20" s="1">
        <f>IF(K20="","",ROUND(K20*Annahmen!$B$7/Annahmen!$B$6,0)*Annahmen!$B$6)</f>
        <v/>
      </c>
      <c r="M20" s="2" t="n"/>
      <c r="N20" s="3">
        <f>IF(OR(G20="",M20=""),"",1-M20/G20)</f>
        <v/>
      </c>
      <c r="O20" t="n">
        <v>2</v>
      </c>
      <c r="P20" t="n">
        <v>4</v>
      </c>
      <c r="Q20" s="1">
        <f>O20*Annahmen!$B$9</f>
        <v/>
      </c>
      <c r="R20" s="1">
        <f>P20*Annahmen!$B$9</f>
        <v/>
      </c>
      <c r="S20">
        <f>HYPERLINK(Annahmen!$B$11&amp;"#artikel/tw-37","Stück öffnen")</f>
        <v/>
      </c>
      <c r="T20" t="inlineStr"/>
      <c r="U20" t="inlineStr">
        <is>
          <t>Nicht im Shop. Masse fehlen – Preis manuell</t>
        </is>
      </c>
    </row>
    <row r="21">
      <c r="A21" t="inlineStr">
        <is>
          <t>TW 38</t>
        </is>
      </c>
      <c r="B21" t="inlineStr">
        <is>
          <t>Neue Glasplatten</t>
        </is>
      </c>
      <c r="C21" t="inlineStr">
        <is>
          <t>Strukturglas-Platte mit Reliefstruktur</t>
        </is>
      </c>
      <c r="D21" t="inlineStr">
        <is>
          <t>Masse auf Anfrage · 10 mm Glas</t>
        </is>
      </c>
      <c r="E21" t="inlineStr">
        <is>
          <t>verfügbar</t>
        </is>
      </c>
      <c r="F21" t="inlineStr">
        <is>
          <t>Preis auf Anfrage</t>
        </is>
      </c>
      <c r="G21" s="1" t="n"/>
      <c r="H21" s="1" t="n"/>
      <c r="K21">
        <f>IF(OR(I21="",J21=""),"",ROUND(I21*J21/1000000,2))</f>
        <v/>
      </c>
      <c r="L21" s="1">
        <f>IF(K21="","",ROUND(K21*Annahmen!$B$8/Annahmen!$B$6,0)*Annahmen!$B$6)</f>
        <v/>
      </c>
      <c r="M21" s="2" t="n"/>
      <c r="N21" s="3">
        <f>IF(OR(G21="",M21=""),"",1-M21/G21)</f>
        <v/>
      </c>
      <c r="O21" t="n">
        <v>2</v>
      </c>
      <c r="P21" t="n">
        <v>4</v>
      </c>
      <c r="Q21" s="1">
        <f>O21*Annahmen!$B$9</f>
        <v/>
      </c>
      <c r="R21" s="1">
        <f>P21*Annahmen!$B$9</f>
        <v/>
      </c>
      <c r="S21">
        <f>HYPERLINK(Annahmen!$B$11&amp;"#artikel/tw-38","Stück öffnen")</f>
        <v/>
      </c>
      <c r="T21" t="inlineStr"/>
      <c r="U21" t="inlineStr">
        <is>
          <t>Nicht im Shop. Masse fehlen – Preis manuell</t>
        </is>
      </c>
    </row>
    <row r="22">
      <c r="A22" t="inlineStr">
        <is>
          <t>BA-06</t>
        </is>
      </c>
      <c r="B22" t="inlineStr">
        <is>
          <t>Glaswaschtische</t>
        </is>
      </c>
      <c r="C22" t="inlineStr">
        <is>
          <t>LED-Glaswaschtisch 160 cm mit Holz-Unterschrank</t>
        </is>
      </c>
      <c r="D22" t="inlineStr">
        <is>
          <t>160 cm · zwei Becken · LED-Beleuchtung · Unterschrank Holzdekor · ohne Armaturen</t>
        </is>
      </c>
      <c r="E22" t="inlineStr">
        <is>
          <t>verfügbar</t>
        </is>
      </c>
      <c r="F22" t="inlineStr">
        <is>
          <t>Katalog 05/2025 (nicht im Shop)</t>
        </is>
      </c>
      <c r="G22" s="1" t="n">
        <v>1920</v>
      </c>
      <c r="H22" s="1" t="n"/>
      <c r="K22">
        <f>IF(OR(I22="",J22=""),"",ROUND(I22*J22/1000000,2))</f>
        <v/>
      </c>
      <c r="L22" s="1">
        <f>IF(G22="","",ROUND(G22*(1-IF(G22&lt;=300,Annahmen!$B$2,IF(G22&lt;=1000,Annahmen!$B$3,IF(G22&lt;=3000,Annahmen!$B$4,Annahmen!$B$5))))/Annahmen!$B$6,0)*Annahmen!$B$6)</f>
        <v/>
      </c>
      <c r="M22" s="2" t="n"/>
      <c r="N22" s="3">
        <f>IF(OR(G22="",M22=""),"",1-M22/G22)</f>
        <v/>
      </c>
      <c r="O22" t="n">
        <v>3</v>
      </c>
      <c r="P22" t="n">
        <v>4</v>
      </c>
      <c r="Q22" s="1">
        <f>O22*Annahmen!$B$9</f>
        <v/>
      </c>
      <c r="R22" s="1">
        <f>P22*Annahmen!$B$9</f>
        <v/>
      </c>
      <c r="S22">
        <f>HYPERLINK(Annahmen!$B$11&amp;"#artikel/ba-06-led-glass-washbasin-160cm","Stück öffnen")</f>
        <v/>
      </c>
      <c r="T22" t="inlineStr"/>
      <c r="U22" t="inlineStr">
        <is>
          <t>Nicht im Shop. Katalogpreis 05/2025, Vorschlag mit Rabattstufe</t>
        </is>
      </c>
    </row>
    <row r="23">
      <c r="A23" t="inlineStr">
        <is>
          <t>BA-W</t>
        </is>
      </c>
      <c r="B23" t="inlineStr">
        <is>
          <t>Glaswaschtische</t>
        </is>
      </c>
      <c r="C23" t="inlineStr">
        <is>
          <t>Weiss lackierter Glaswaschtisch 76 × 51 cm</t>
        </is>
      </c>
      <c r="D23" t="inlineStr">
        <is>
          <t>76 × 51 cm · weiss lackiert · Edelstahlkonsolen · ohne Armaturen</t>
        </is>
      </c>
      <c r="E23" t="inlineStr">
        <is>
          <t>verfügbar</t>
        </is>
      </c>
      <c r="F23" t="inlineStr">
        <is>
          <t>Shop-Preis (öffentlich)</t>
        </is>
      </c>
      <c r="G23" s="4" t="n">
        <v>800</v>
      </c>
      <c r="H23" s="1" t="n">
        <v>1900</v>
      </c>
      <c r="K23">
        <f>IF(OR(I23="",J23=""),"",ROUND(I23*J23/1000000,2))</f>
        <v/>
      </c>
      <c r="L23" s="1">
        <f>G23</f>
        <v/>
      </c>
      <c r="M23" s="2" t="n"/>
      <c r="N23" s="3">
        <f>IF(OR(G23="",M23=""),"",1-M23/G23)</f>
        <v/>
      </c>
      <c r="O23" t="n">
        <v>1.5</v>
      </c>
      <c r="P23" t="n">
        <v>2.5</v>
      </c>
      <c r="Q23" s="1">
        <f>O23*Annahmen!$B$9</f>
        <v/>
      </c>
      <c r="R23" s="1">
        <f>P23*Annahmen!$B$9</f>
        <v/>
      </c>
      <c r="S23">
        <f>HYPERLINK(Annahmen!$B$11&amp;"#artikel/ba-w-white-lacquered-washbasin","Stück öffnen")</f>
        <v/>
      </c>
      <c r="T23">
        <f>HYPERLINK("https://crea-glass.ch/product/lavabo-glaswaschtisch-760x510mm/","Im Shop")</f>
        <v/>
      </c>
      <c r="U23" t="inlineStr">
        <is>
          <t>Shop-Preis gilt (Shop-Aktion)</t>
        </is>
      </c>
    </row>
    <row r="24">
      <c r="A24" t="inlineStr">
        <is>
          <t>BA-05</t>
        </is>
      </c>
      <c r="B24" t="inlineStr">
        <is>
          <t>Glaswaschtische</t>
        </is>
      </c>
      <c r="C24" t="inlineStr">
        <is>
          <t>LED-Glaswaschtisch 99,5 × 52,5 cm mit Steinoptik-Unterschrank</t>
        </is>
      </c>
      <c r="D24" t="inlineStr">
        <is>
          <t>99,5 × 52,5 cm · LED-Beleuchtung · Unterschrank Steinoptik · ohne Armaturen</t>
        </is>
      </c>
      <c r="E24" t="inlineStr">
        <is>
          <t>verfügbar</t>
        </is>
      </c>
      <c r="F24" t="inlineStr">
        <is>
          <t>Shop-Preis (öffentlich)</t>
        </is>
      </c>
      <c r="G24" s="4" t="n">
        <v>1140</v>
      </c>
      <c r="H24" s="1" t="n">
        <v>1900</v>
      </c>
      <c r="K24">
        <f>IF(OR(I24="",J24=""),"",ROUND(I24*J24/1000000,2))</f>
        <v/>
      </c>
      <c r="L24" s="1">
        <f>G24</f>
        <v/>
      </c>
      <c r="M24" s="2" t="n"/>
      <c r="N24" s="3">
        <f>IF(OR(G24="",M24=""),"",1-M24/G24)</f>
        <v/>
      </c>
      <c r="O24" t="n">
        <v>3</v>
      </c>
      <c r="P24" t="n">
        <v>4</v>
      </c>
      <c r="Q24" s="1">
        <f>O24*Annahmen!$B$9</f>
        <v/>
      </c>
      <c r="R24" s="1">
        <f>P24*Annahmen!$B$9</f>
        <v/>
      </c>
      <c r="S24">
        <f>HYPERLINK(Annahmen!$B$11&amp;"#artikel/ba-05-led-glass-washbasin-99cm","Stück öffnen")</f>
        <v/>
      </c>
      <c r="T24">
        <f>HYPERLINK("https://crea-glass.ch/product/lavabo-nr-5-glaswaschtisch-995x525mm/","Im Shop")</f>
        <v/>
      </c>
      <c r="U24" t="inlineStr">
        <is>
          <t>Shop-Preis gilt (Shop-Aktion)</t>
        </is>
      </c>
    </row>
    <row r="25">
      <c r="A25" t="inlineStr">
        <is>
          <t>BA-03</t>
        </is>
      </c>
      <c r="B25" t="inlineStr">
        <is>
          <t>Glaswaschtische</t>
        </is>
      </c>
      <c r="C25" t="inlineStr">
        <is>
          <t>LED-Glaswaschtisch 80 cm mit Unterschrank</t>
        </is>
      </c>
      <c r="D25" t="inlineStr">
        <is>
          <t>80 cm · LED-Beleuchtung · Unterschrank Steinoptik · ohne Armaturen</t>
        </is>
      </c>
      <c r="E25" t="inlineStr">
        <is>
          <t>verfügbar</t>
        </is>
      </c>
      <c r="F25" t="inlineStr">
        <is>
          <t>Shop-Preis (öffentlich)</t>
        </is>
      </c>
      <c r="G25" s="4" t="n">
        <v>850</v>
      </c>
      <c r="H25" s="1" t="n">
        <v>1700</v>
      </c>
      <c r="K25">
        <f>IF(OR(I25="",J25=""),"",ROUND(I25*J25/1000000,2))</f>
        <v/>
      </c>
      <c r="L25" s="1">
        <f>G25</f>
        <v/>
      </c>
      <c r="M25" s="2" t="n"/>
      <c r="N25" s="3">
        <f>IF(OR(G25="",M25=""),"",1-M25/G25)</f>
        <v/>
      </c>
      <c r="O25" t="n">
        <v>3</v>
      </c>
      <c r="P25" t="n">
        <v>4</v>
      </c>
      <c r="Q25" s="1">
        <f>O25*Annahmen!$B$9</f>
        <v/>
      </c>
      <c r="R25" s="1">
        <f>P25*Annahmen!$B$9</f>
        <v/>
      </c>
      <c r="S25">
        <f>HYPERLINK(Annahmen!$B$11&amp;"#artikel/ba-03-led-glass-washbasin-80cm","Stück öffnen")</f>
        <v/>
      </c>
      <c r="T25">
        <f>HYPERLINK("https://crea-glass.ch/product/lavabo-nr-3-glaswaschtisch-800mm/","Im Shop")</f>
        <v/>
      </c>
      <c r="U25" t="inlineStr">
        <is>
          <t>Shop-Preis gilt (Shop-Aktion)</t>
        </is>
      </c>
    </row>
    <row r="26">
      <c r="A26" t="inlineStr">
        <is>
          <t>BA-M4</t>
        </is>
      </c>
      <c r="B26" t="inlineStr">
        <is>
          <t>Glaswaschtische</t>
        </is>
      </c>
      <c r="C26" t="inlineStr">
        <is>
          <t>Glasschüssel-Set Modell 4 auf roter Glasplatte</t>
        </is>
      </c>
      <c r="D26" t="inlineStr">
        <is>
          <t>Schüssel schwarz-gold · rote Glasabdeckung · Konsolen · ohne Armatur</t>
        </is>
      </c>
      <c r="E26" t="inlineStr">
        <is>
          <t>verfügbar</t>
        </is>
      </c>
      <c r="F26" t="inlineStr">
        <is>
          <t>Katalog 05/2025 (nicht im Shop)</t>
        </is>
      </c>
      <c r="G26" s="1" t="n">
        <v>650</v>
      </c>
      <c r="H26" s="1" t="n"/>
      <c r="K26">
        <f>IF(OR(I26="",J26=""),"",ROUND(I26*J26/1000000,2))</f>
        <v/>
      </c>
      <c r="L26" s="1">
        <f>IF(G26="","",ROUND(G26*(1-IF(G26&lt;=300,Annahmen!$B$2,IF(G26&lt;=1000,Annahmen!$B$3,IF(G26&lt;=3000,Annahmen!$B$4,Annahmen!$B$5))))/Annahmen!$B$6,0)*Annahmen!$B$6)</f>
        <v/>
      </c>
      <c r="M26" s="2" t="n"/>
      <c r="N26" s="3">
        <f>IF(OR(G26="",M26=""),"",1-M26/G26)</f>
        <v/>
      </c>
      <c r="O26" t="n">
        <v>1.5</v>
      </c>
      <c r="P26" t="n">
        <v>2.5</v>
      </c>
      <c r="Q26" s="1">
        <f>O26*Annahmen!$B$9</f>
        <v/>
      </c>
      <c r="R26" s="1">
        <f>P26*Annahmen!$B$9</f>
        <v/>
      </c>
      <c r="S26">
        <f>HYPERLINK(Annahmen!$B$11&amp;"#artikel/ba-m4-glass-bowl-set-model-4","Stück öffnen")</f>
        <v/>
      </c>
      <c r="T26" t="inlineStr"/>
      <c r="U26" t="inlineStr">
        <is>
          <t>Nicht im Shop. Katalogpreis 05/2025, Vorschlag mit Rabattstufe</t>
        </is>
      </c>
    </row>
    <row r="27">
      <c r="A27" t="inlineStr">
        <is>
          <t>BA-RD</t>
        </is>
      </c>
      <c r="B27" t="inlineStr">
        <is>
          <t>Duschen</t>
        </is>
      </c>
      <c r="C27" t="inlineStr">
        <is>
          <t>Runddusche mit Glasboden und Glasdecke</t>
        </is>
      </c>
      <c r="D27" t="inlineStr">
        <is>
          <t>H 206 cm · B 130/100 cm · mit Boden und Decke · Komplettset</t>
        </is>
      </c>
      <c r="E27" t="inlineStr">
        <is>
          <t>verfügbar</t>
        </is>
      </c>
      <c r="F27" t="inlineStr">
        <is>
          <t>Aktionspreis Nov 2026 (bestätigt)</t>
        </is>
      </c>
      <c r="G27" s="1" t="n">
        <v>4000</v>
      </c>
      <c r="H27" s="1" t="n">
        <v>12111</v>
      </c>
      <c r="K27">
        <f>IF(OR(I27="",J27=""),"",ROUND(I27*J27/1000000,2))</f>
        <v/>
      </c>
      <c r="L27" s="1">
        <f>G27</f>
        <v/>
      </c>
      <c r="M27" s="2" t="n"/>
      <c r="N27" s="3">
        <f>IF(OR(G27="",M27=""),"",1-M27/G27)</f>
        <v/>
      </c>
      <c r="O27" t="n">
        <v>5</v>
      </c>
      <c r="P27" t="n">
        <v>8</v>
      </c>
      <c r="Q27" s="1">
        <f>O27*Annahmen!$B$9</f>
        <v/>
      </c>
      <c r="R27" s="1">
        <f>P27*Annahmen!$B$9</f>
        <v/>
      </c>
      <c r="S27">
        <f>HYPERLINK(Annahmen!$B$11&amp;"#artikel/ba-rd-round-shower","Stück öffnen")</f>
        <v/>
      </c>
      <c r="T27">
        <f>HYPERLINK("https://crea-glass.ch/product/runddusche-komplett-hoehe-2060mm/","Im Shop")</f>
        <v/>
      </c>
      <c r="U27" t="inlineStr">
        <is>
          <t>Aktionspreis bestätigt – Shop zeigt CHF 5000, Website CHF 4000: klären</t>
        </is>
      </c>
    </row>
    <row r="28">
      <c r="A28" t="inlineStr">
        <is>
          <t>BA-ED</t>
        </is>
      </c>
      <c r="B28" t="inlineStr">
        <is>
          <t>Duschen</t>
        </is>
      </c>
      <c r="C28" t="inlineStr">
        <is>
          <t>Eckdusche: Glasrückwände und Glasboden, H 200 cm</t>
        </is>
      </c>
      <c r="D28" t="inlineStr">
        <is>
          <t>100 × 120 cm, H 200 cm · Glasrückwände · Glasboden · Türen und Beschläge nicht mehr verfügbar</t>
        </is>
      </c>
      <c r="E28" t="inlineStr">
        <is>
          <t>verfügbar</t>
        </is>
      </c>
      <c r="F28" t="inlineStr">
        <is>
          <t>Shop-Preis (öffentlich)</t>
        </is>
      </c>
      <c r="G28" s="4" t="n">
        <v>2200</v>
      </c>
      <c r="H28" s="1" t="n"/>
      <c r="K28">
        <f>IF(OR(I28="",J28=""),"",ROUND(I28*J28/1000000,2))</f>
        <v/>
      </c>
      <c r="L28" s="1">
        <f>G28</f>
        <v/>
      </c>
      <c r="M28" s="2" t="n"/>
      <c r="N28" s="3">
        <f>IF(OR(G28="",M28=""),"",1-M28/G28)</f>
        <v/>
      </c>
      <c r="O28" t="n">
        <v>5</v>
      </c>
      <c r="P28" t="n">
        <v>8</v>
      </c>
      <c r="Q28" s="1">
        <f>O28*Annahmen!$B$9</f>
        <v/>
      </c>
      <c r="R28" s="1">
        <f>P28*Annahmen!$B$9</f>
        <v/>
      </c>
      <c r="S28">
        <f>HYPERLINK(Annahmen!$B$11&amp;"#artikel/ba-ed-corner-sliding-shower","Stück öffnen")</f>
        <v/>
      </c>
      <c r="T28">
        <f>HYPERLINK("https://crea-glass.ch/product/eckdusche-fixglaeser-schiebende-glaeser-beschlaege-schienen-dichtungen-und-griff-hoehe-2000mm/","Im Shop")</f>
        <v/>
      </c>
      <c r="U28" t="inlineStr">
        <is>
          <t>Shop-Preis gilt</t>
        </is>
      </c>
    </row>
    <row r="29">
      <c r="A29" t="inlineStr">
        <is>
          <t>BA-FD</t>
        </is>
      </c>
      <c r="B29" t="inlineStr">
        <is>
          <t>Duschen</t>
        </is>
      </c>
      <c r="C29" t="inlineStr">
        <is>
          <t>Faltentür für Nischendusche 82 × 204 cm</t>
        </is>
      </c>
      <c r="D29" t="inlineStr">
        <is>
          <t>82,3 × 204 cm · mit Beschlägen · Rückwände und Boden auf Anfrage</t>
        </is>
      </c>
      <c r="E29" t="inlineStr">
        <is>
          <t>verfügbar</t>
        </is>
      </c>
      <c r="F29" t="inlineStr">
        <is>
          <t>Shop-Preis (öffentlich)</t>
        </is>
      </c>
      <c r="G29" s="4" t="n">
        <v>1500</v>
      </c>
      <c r="H29" s="1" t="n">
        <v>2569</v>
      </c>
      <c r="K29">
        <f>IF(OR(I29="",J29=""),"",ROUND(I29*J29/1000000,2))</f>
        <v/>
      </c>
      <c r="L29" s="1">
        <f>G29</f>
        <v/>
      </c>
      <c r="M29" s="2" t="n"/>
      <c r="N29" s="3">
        <f>IF(OR(G29="",M29=""),"",1-M29/G29)</f>
        <v/>
      </c>
      <c r="O29" t="n">
        <v>5</v>
      </c>
      <c r="P29" t="n">
        <v>8</v>
      </c>
      <c r="Q29" s="1">
        <f>O29*Annahmen!$B$9</f>
        <v/>
      </c>
      <c r="R29" s="1">
        <f>P29*Annahmen!$B$9</f>
        <v/>
      </c>
      <c r="S29">
        <f>HYPERLINK(Annahmen!$B$11&amp;"#artikel/ba-fd-folding-shower-door","Stück öffnen")</f>
        <v/>
      </c>
      <c r="T29">
        <f>HYPERLINK("https://crea-glass.ch/product/faltentuere-fuer-nische-inkl-beschlaege-und-griffe-823x2040mm/","Im Shop")</f>
        <v/>
      </c>
      <c r="U29" t="inlineStr">
        <is>
          <t>Shop-Preis gilt (Shop-Aktion)</t>
        </is>
      </c>
    </row>
    <row r="30">
      <c r="A30" t="inlineStr">
        <is>
          <t>BA-SD</t>
        </is>
      </c>
      <c r="B30" t="inlineStr">
        <is>
          <t>Duschen</t>
        </is>
      </c>
      <c r="C30" t="inlineStr">
        <is>
          <t>Dusch-Schiebetüre 100 × 200 cm</t>
        </is>
      </c>
      <c r="D30" t="inlineStr">
        <is>
          <t>100 × 200 cm · mit Beschlägen · Rückwände auf Anfrage</t>
        </is>
      </c>
      <c r="E30" t="inlineStr">
        <is>
          <t>verfügbar</t>
        </is>
      </c>
      <c r="F30" t="inlineStr">
        <is>
          <t>Katalog 05/2025 (nicht im Shop)</t>
        </is>
      </c>
      <c r="G30" s="1" t="n">
        <v>1500</v>
      </c>
      <c r="H30" s="1" t="n"/>
      <c r="K30">
        <f>IF(OR(I30="",J30=""),"",ROUND(I30*J30/1000000,2))</f>
        <v/>
      </c>
      <c r="L30" s="1">
        <f>IF(G30="","",ROUND(G30*(1-IF(G30&lt;=300,Annahmen!$B$2,IF(G30&lt;=1000,Annahmen!$B$3,IF(G30&lt;=3000,Annahmen!$B$4,Annahmen!$B$5))))/Annahmen!$B$6,0)*Annahmen!$B$6)</f>
        <v/>
      </c>
      <c r="M30" s="2" t="n"/>
      <c r="N30" s="3">
        <f>IF(OR(G30="",M30=""),"",1-M30/G30)</f>
        <v/>
      </c>
      <c r="O30" t="n">
        <v>5</v>
      </c>
      <c r="P30" t="n">
        <v>8</v>
      </c>
      <c r="Q30" s="1">
        <f>O30*Annahmen!$B$9</f>
        <v/>
      </c>
      <c r="R30" s="1">
        <f>P30*Annahmen!$B$9</f>
        <v/>
      </c>
      <c r="S30">
        <f>HYPERLINK(Annahmen!$B$11&amp;"#artikel/ba-sd-sliding-shower-door","Stück öffnen")</f>
        <v/>
      </c>
      <c r="T30" t="inlineStr"/>
      <c r="U30" t="inlineStr">
        <is>
          <t>Nicht im Shop. Katalogpreis 05/2025, Vorschlag mit Rabattstufe</t>
        </is>
      </c>
    </row>
    <row r="31">
      <c r="A31" s="5" t="inlineStr">
        <is>
          <t>BA-D</t>
        </is>
      </c>
      <c r="B31" s="5" t="inlineStr">
        <is>
          <t>Glastüren</t>
        </is>
      </c>
      <c r="C31" s="5" t="inlineStr">
        <is>
          <t>Glas-Drehtüre mit Delfinrelief, ESG</t>
        </is>
      </c>
      <c r="D31" s="5" t="inlineStr">
        <is>
          <t>80,5 × 218 cm · ESG · inkl. Beschläge und Griff</t>
        </is>
      </c>
      <c r="E31" s="5" t="inlineStr">
        <is>
          <t>verkauft</t>
        </is>
      </c>
      <c r="F31" s="5" t="inlineStr">
        <is>
          <t>Katalog 05/2025 (nicht im Shop)</t>
        </is>
      </c>
      <c r="G31" s="6" t="n">
        <v>1400</v>
      </c>
      <c r="H31" s="6" t="n"/>
      <c r="I31" s="5" t="n"/>
      <c r="J31" s="5" t="n"/>
      <c r="K31" s="5">
        <f>IF(OR(I31="",J31=""),"",ROUND(I31*J31/1000000,2))</f>
        <v/>
      </c>
      <c r="L31" s="6" t="n"/>
      <c r="M31" s="6" t="n"/>
      <c r="N31" s="7">
        <f>IF(OR(G31="",M31=""),"",1-M31/G31)</f>
        <v/>
      </c>
      <c r="O31" s="5" t="n">
        <v>2</v>
      </c>
      <c r="P31" s="5" t="n">
        <v>3</v>
      </c>
      <c r="Q31" s="6">
        <f>O31*Annahmen!$B$9</f>
        <v/>
      </c>
      <c r="R31" s="6">
        <f>P31*Annahmen!$B$9</f>
        <v/>
      </c>
      <c r="S31" s="5">
        <f>HYPERLINK(Annahmen!$B$11&amp;"#artikel/ba-d-dolphin-relief-glass-door","Stück öffnen")</f>
        <v/>
      </c>
      <c r="T31" s="5" t="inlineStr"/>
      <c r="U31" s="5" t="inlineStr">
        <is>
          <t>Verkauft – nur Dokumentation</t>
        </is>
      </c>
    </row>
    <row r="32">
      <c r="A32" t="inlineStr">
        <is>
          <t>BA-P</t>
        </is>
      </c>
      <c r="B32" t="inlineStr">
        <is>
          <t>Glastüren</t>
        </is>
      </c>
      <c r="C32" t="inlineStr">
        <is>
          <t>Glas-Drehtüre mit Palmenrelief, ESG</t>
        </is>
      </c>
      <c r="D32" t="inlineStr">
        <is>
          <t>84 × 201,5 cm · ESG · inkl. Schiene, Beschläge und Griff</t>
        </is>
      </c>
      <c r="E32" t="inlineStr">
        <is>
          <t>verfügbar</t>
        </is>
      </c>
      <c r="F32" t="inlineStr">
        <is>
          <t>Katalog 05/2025 (nicht im Shop)</t>
        </is>
      </c>
      <c r="G32" s="1" t="n">
        <v>1200</v>
      </c>
      <c r="H32" s="1" t="n"/>
      <c r="K32">
        <f>IF(OR(I32="",J32=""),"",ROUND(I32*J32/1000000,2))</f>
        <v/>
      </c>
      <c r="L32" s="1">
        <f>IF(G32="","",ROUND(G32*(1-IF(G32&lt;=300,Annahmen!$B$2,IF(G32&lt;=1000,Annahmen!$B$3,IF(G32&lt;=3000,Annahmen!$B$4,Annahmen!$B$5))))/Annahmen!$B$6,0)*Annahmen!$B$6)</f>
        <v/>
      </c>
      <c r="M32" s="2" t="n"/>
      <c r="N32" s="3">
        <f>IF(OR(G32="",M32=""),"",1-M32/G32)</f>
        <v/>
      </c>
      <c r="O32" t="n">
        <v>2</v>
      </c>
      <c r="P32" t="n">
        <v>3</v>
      </c>
      <c r="Q32" s="1">
        <f>O32*Annahmen!$B$9</f>
        <v/>
      </c>
      <c r="R32" s="1">
        <f>P32*Annahmen!$B$9</f>
        <v/>
      </c>
      <c r="S32">
        <f>HYPERLINK(Annahmen!$B$11&amp;"#artikel/ba-p-palm-relief-glass-door","Stück öffnen")</f>
        <v/>
      </c>
      <c r="T32" t="inlineStr"/>
      <c r="U32" t="inlineStr">
        <is>
          <t>Nicht im Shop. Katalogpreis 05/2025, Vorschlag mit Rabattstufe</t>
        </is>
      </c>
    </row>
    <row r="33">
      <c r="A33" t="inlineStr">
        <is>
          <t>LA 04</t>
        </is>
      </c>
      <c r="B33" t="inlineStr">
        <is>
          <t>Glaswaschtische</t>
        </is>
      </c>
      <c r="C33" t="inlineStr">
        <is>
          <t>Glaswaschtisch 130 × 70 cm mit ovalem Becken</t>
        </is>
      </c>
      <c r="D33" t="inlineStr">
        <is>
          <t>130 × 70 cm · Strukturglas klar · ovales Becken</t>
        </is>
      </c>
      <c r="E33" t="inlineStr">
        <is>
          <t>verfügbar</t>
        </is>
      </c>
      <c r="F33" t="inlineStr">
        <is>
          <t>Shop-Preis (öffentlich)</t>
        </is>
      </c>
      <c r="G33" s="4" t="n">
        <v>1500</v>
      </c>
      <c r="H33" s="1" t="n"/>
      <c r="K33">
        <f>IF(OR(I33="",J33=""),"",ROUND(I33*J33/1000000,2))</f>
        <v/>
      </c>
      <c r="L33" s="1">
        <f>G33</f>
        <v/>
      </c>
      <c r="M33" s="2" t="n"/>
      <c r="N33" s="3">
        <f>IF(OR(G33="",M33=""),"",1-M33/G33)</f>
        <v/>
      </c>
      <c r="O33" t="n">
        <v>1.5</v>
      </c>
      <c r="P33" t="n">
        <v>2.5</v>
      </c>
      <c r="Q33" s="1">
        <f>O33*Annahmen!$B$9</f>
        <v/>
      </c>
      <c r="R33" s="1">
        <f>P33*Annahmen!$B$9</f>
        <v/>
      </c>
      <c r="S33">
        <f>HYPERLINK(Annahmen!$B$11&amp;"#artikel/la-04-glass-washbasin","Stück öffnen")</f>
        <v/>
      </c>
      <c r="T33">
        <f>HYPERLINK("https://crea-glass.ch/product/glaswaschtisch-la-04/","Im Shop")</f>
        <v/>
      </c>
      <c r="U33" t="inlineStr">
        <is>
          <t>Shop-Preis gilt</t>
        </is>
      </c>
    </row>
    <row r="34">
      <c r="A34" t="inlineStr">
        <is>
          <t>LA 11</t>
        </is>
      </c>
      <c r="B34" t="inlineStr">
        <is>
          <t>Glaswaschtische</t>
        </is>
      </c>
      <c r="C34" t="inlineStr">
        <is>
          <t>Glaswaschtisch 145 × 65 cm, Weiss</t>
        </is>
      </c>
      <c r="D34" t="inlineStr">
        <is>
          <t>145 × 65 cm · weiss</t>
        </is>
      </c>
      <c r="E34" t="inlineStr">
        <is>
          <t>verfügbar</t>
        </is>
      </c>
      <c r="F34" t="inlineStr">
        <is>
          <t>Shop-Preis (öffentlich)</t>
        </is>
      </c>
      <c r="G34" s="4" t="n">
        <v>800</v>
      </c>
      <c r="H34" s="1" t="n"/>
      <c r="K34">
        <f>IF(OR(I34="",J34=""),"",ROUND(I34*J34/1000000,2))</f>
        <v/>
      </c>
      <c r="L34" s="1">
        <f>G34</f>
        <v/>
      </c>
      <c r="M34" s="2" t="n"/>
      <c r="N34" s="3">
        <f>IF(OR(G34="",M34=""),"",1-M34/G34)</f>
        <v/>
      </c>
      <c r="O34" t="n">
        <v>1.5</v>
      </c>
      <c r="P34" t="n">
        <v>2.5</v>
      </c>
      <c r="Q34" s="1">
        <f>O34*Annahmen!$B$9</f>
        <v/>
      </c>
      <c r="R34" s="1">
        <f>P34*Annahmen!$B$9</f>
        <v/>
      </c>
      <c r="S34">
        <f>HYPERLINK(Annahmen!$B$11&amp;"#artikel/la-11-glass-washbasin","Stück öffnen")</f>
        <v/>
      </c>
      <c r="T34">
        <f>HYPERLINK("https://crea-glass.ch/product/glaswaschtisch-la-11/","Im Shop")</f>
        <v/>
      </c>
      <c r="U34" t="inlineStr">
        <is>
          <t>Shop-Preis gilt</t>
        </is>
      </c>
    </row>
    <row r="35">
      <c r="A35" t="inlineStr">
        <is>
          <t>LA 21</t>
        </is>
      </c>
      <c r="B35" t="inlineStr">
        <is>
          <t>Glaswaschtische</t>
        </is>
      </c>
      <c r="C35" t="inlineStr">
        <is>
          <t>Geschwungener Glaswaschtisch 122 × 40 cm</t>
        </is>
      </c>
      <c r="D35" t="inlineStr">
        <is>
          <t>122 × 40 cm · geschwungen · Strukturglas klar</t>
        </is>
      </c>
      <c r="E35" t="inlineStr">
        <is>
          <t>verfügbar</t>
        </is>
      </c>
      <c r="F35" t="inlineStr">
        <is>
          <t>Shop-Preis (öffentlich)</t>
        </is>
      </c>
      <c r="G35" s="4" t="n">
        <v>800</v>
      </c>
      <c r="H35" s="1" t="n"/>
      <c r="K35">
        <f>IF(OR(I35="",J35=""),"",ROUND(I35*J35/1000000,2))</f>
        <v/>
      </c>
      <c r="L35" s="1">
        <f>G35</f>
        <v/>
      </c>
      <c r="M35" s="2" t="n"/>
      <c r="N35" s="3">
        <f>IF(OR(G35="",M35=""),"",1-M35/G35)</f>
        <v/>
      </c>
      <c r="O35" t="n">
        <v>1.5</v>
      </c>
      <c r="P35" t="n">
        <v>2.5</v>
      </c>
      <c r="Q35" s="1">
        <f>O35*Annahmen!$B$9</f>
        <v/>
      </c>
      <c r="R35" s="1">
        <f>P35*Annahmen!$B$9</f>
        <v/>
      </c>
      <c r="S35">
        <f>HYPERLINK(Annahmen!$B$11&amp;"#artikel/la-21-glass-washbasin","Stück öffnen")</f>
        <v/>
      </c>
      <c r="T35">
        <f>HYPERLINK("https://crea-glass.ch/product/glaswaschtisch-la-21/","Im Shop")</f>
        <v/>
      </c>
      <c r="U35" t="inlineStr">
        <is>
          <t>Shop-Preis gilt</t>
        </is>
      </c>
    </row>
    <row r="36">
      <c r="A36" t="inlineStr">
        <is>
          <t>LA 23</t>
        </is>
      </c>
      <c r="B36" t="inlineStr">
        <is>
          <t>Glaswaschtische</t>
        </is>
      </c>
      <c r="C36" t="inlineStr">
        <is>
          <t>Glaswaschtisch 80 × 56 cm, Kobaltblau</t>
        </is>
      </c>
      <c r="D36" t="inlineStr">
        <is>
          <t>80 × 56 cm · kobaltblau</t>
        </is>
      </c>
      <c r="E36" t="inlineStr">
        <is>
          <t>verfügbar</t>
        </is>
      </c>
      <c r="F36" t="inlineStr">
        <is>
          <t>Shop-Preis (öffentlich)</t>
        </is>
      </c>
      <c r="G36" s="4" t="n">
        <v>300</v>
      </c>
      <c r="H36" s="1" t="n"/>
      <c r="K36">
        <f>IF(OR(I36="",J36=""),"",ROUND(I36*J36/1000000,2))</f>
        <v/>
      </c>
      <c r="L36" s="1">
        <f>G36</f>
        <v/>
      </c>
      <c r="M36" s="2" t="n"/>
      <c r="N36" s="3">
        <f>IF(OR(G36="",M36=""),"",1-M36/G36)</f>
        <v/>
      </c>
      <c r="O36" t="n">
        <v>1.5</v>
      </c>
      <c r="P36" t="n">
        <v>2.5</v>
      </c>
      <c r="Q36" s="1">
        <f>O36*Annahmen!$B$9</f>
        <v/>
      </c>
      <c r="R36" s="1">
        <f>P36*Annahmen!$B$9</f>
        <v/>
      </c>
      <c r="S36">
        <f>HYPERLINK(Annahmen!$B$11&amp;"#artikel/la-23-glass-washbasin","Stück öffnen")</f>
        <v/>
      </c>
      <c r="T36">
        <f>HYPERLINK("https://crea-glass.ch/product/lavabo-la-23/","Im Shop")</f>
        <v/>
      </c>
      <c r="U36" t="inlineStr">
        <is>
          <t>Shop-Preis gilt</t>
        </is>
      </c>
    </row>
    <row r="37">
      <c r="A37" t="inlineStr">
        <is>
          <t>LA 26</t>
        </is>
      </c>
      <c r="B37" t="inlineStr">
        <is>
          <t>Glaswaschtische</t>
        </is>
      </c>
      <c r="C37" t="inlineStr">
        <is>
          <t>Doppelwaschtisch 170 × 65 cm, Gelb, mit Unterschrank</t>
        </is>
      </c>
      <c r="D37" t="inlineStr">
        <is>
          <t>170 × 65 cm · zwei Becken · gelb · mit Unterschrank</t>
        </is>
      </c>
      <c r="E37" t="inlineStr">
        <is>
          <t>verfügbar</t>
        </is>
      </c>
      <c r="F37" t="inlineStr">
        <is>
          <t>Shop-Preis (öffentlich)</t>
        </is>
      </c>
      <c r="G37" s="4" t="n">
        <v>900</v>
      </c>
      <c r="H37" s="1" t="n">
        <v>1500</v>
      </c>
      <c r="K37">
        <f>IF(OR(I37="",J37=""),"",ROUND(I37*J37/1000000,2))</f>
        <v/>
      </c>
      <c r="L37" s="1">
        <f>G37</f>
        <v/>
      </c>
      <c r="M37" s="2" t="n"/>
      <c r="N37" s="3">
        <f>IF(OR(G37="",M37=""),"",1-M37/G37)</f>
        <v/>
      </c>
      <c r="O37" t="n">
        <v>3</v>
      </c>
      <c r="P37" t="n">
        <v>4</v>
      </c>
      <c r="Q37" s="1">
        <f>O37*Annahmen!$B$9</f>
        <v/>
      </c>
      <c r="R37" s="1">
        <f>P37*Annahmen!$B$9</f>
        <v/>
      </c>
      <c r="S37">
        <f>HYPERLINK(Annahmen!$B$11&amp;"#artikel/la-26-glass-washbasin","Stück öffnen")</f>
        <v/>
      </c>
      <c r="T37">
        <f>HYPERLINK("https://crea-glass.ch/product/glaswaschtisch-doppel-mit-unterschrank-la26/","Im Shop")</f>
        <v/>
      </c>
      <c r="U37" t="inlineStr">
        <is>
          <t>Shop-Preis gilt (Shop-Aktion)</t>
        </is>
      </c>
    </row>
    <row r="38">
      <c r="A38" t="inlineStr">
        <is>
          <t>LA 28</t>
        </is>
      </c>
      <c r="B38" t="inlineStr">
        <is>
          <t>Glaswaschtische</t>
        </is>
      </c>
      <c r="C38" t="inlineStr">
        <is>
          <t>Glaswaschtisch 200 × 65 cm auf Holzsockel</t>
        </is>
      </c>
      <c r="D38" t="inlineStr">
        <is>
          <t>200 × 65 cm · zwei Becken · Holzsockel</t>
        </is>
      </c>
      <c r="E38" t="inlineStr">
        <is>
          <t>verfügbar</t>
        </is>
      </c>
      <c r="F38" t="inlineStr">
        <is>
          <t>Shop-Preis (öffentlich)</t>
        </is>
      </c>
      <c r="G38" s="4" t="n">
        <v>2000</v>
      </c>
      <c r="H38" s="1" t="n"/>
      <c r="K38">
        <f>IF(OR(I38="",J38=""),"",ROUND(I38*J38/1000000,2))</f>
        <v/>
      </c>
      <c r="L38" s="1">
        <f>G38</f>
        <v/>
      </c>
      <c r="M38" s="2" t="n"/>
      <c r="N38" s="3">
        <f>IF(OR(G38="",M38=""),"",1-M38/G38)</f>
        <v/>
      </c>
      <c r="O38" t="n">
        <v>3</v>
      </c>
      <c r="P38" t="n">
        <v>4</v>
      </c>
      <c r="Q38" s="1">
        <f>O38*Annahmen!$B$9</f>
        <v/>
      </c>
      <c r="R38" s="1">
        <f>P38*Annahmen!$B$9</f>
        <v/>
      </c>
      <c r="S38">
        <f>HYPERLINK(Annahmen!$B$11&amp;"#artikel/la-28-glass-washbasin","Stück öffnen")</f>
        <v/>
      </c>
      <c r="T38">
        <f>HYPERLINK("https://crea-glass.ch/product/lavabo-doppel-la-28/","Im Shop")</f>
        <v/>
      </c>
      <c r="U38" t="inlineStr">
        <is>
          <t>Shop-Preis gilt</t>
        </is>
      </c>
    </row>
    <row r="39">
      <c r="A39" t="inlineStr">
        <is>
          <t>LA 30</t>
        </is>
      </c>
      <c r="B39" t="inlineStr">
        <is>
          <t>Glaswaschtische</t>
        </is>
      </c>
      <c r="C39" t="inlineStr">
        <is>
          <t>Glaswaschtisch 96 × 56 cm mit Altholz-Unterschrank</t>
        </is>
      </c>
      <c r="D39" t="inlineStr">
        <is>
          <t>96 × 56 cm · Unterschrank Altholz</t>
        </is>
      </c>
      <c r="E39" t="inlineStr">
        <is>
          <t>verfügbar</t>
        </is>
      </c>
      <c r="F39" t="inlineStr">
        <is>
          <t>Shop-Preis (öffentlich)</t>
        </is>
      </c>
      <c r="G39" s="4" t="n">
        <v>1000</v>
      </c>
      <c r="H39" s="1" t="n"/>
      <c r="K39">
        <f>IF(OR(I39="",J39=""),"",ROUND(I39*J39/1000000,2))</f>
        <v/>
      </c>
      <c r="L39" s="1">
        <f>G39</f>
        <v/>
      </c>
      <c r="M39" s="2" t="n"/>
      <c r="N39" s="3">
        <f>IF(OR(G39="",M39=""),"",1-M39/G39)</f>
        <v/>
      </c>
      <c r="O39" t="n">
        <v>3</v>
      </c>
      <c r="P39" t="n">
        <v>4</v>
      </c>
      <c r="Q39" s="1">
        <f>O39*Annahmen!$B$9</f>
        <v/>
      </c>
      <c r="R39" s="1">
        <f>P39*Annahmen!$B$9</f>
        <v/>
      </c>
      <c r="S39">
        <f>HYPERLINK(Annahmen!$B$11&amp;"#artikel/la-30-glass-washbasin","Stück öffnen")</f>
        <v/>
      </c>
      <c r="T39">
        <f>HYPERLINK("https://crea-glass.ch/product/glaswaschtisch-la-30/","Im Shop")</f>
        <v/>
      </c>
      <c r="U39" t="inlineStr">
        <is>
          <t>Shop-Preis gilt</t>
        </is>
      </c>
    </row>
    <row r="40">
      <c r="A40" t="inlineStr">
        <is>
          <t>LA 34</t>
        </is>
      </c>
      <c r="B40" t="inlineStr">
        <is>
          <t>Glaswaschtische</t>
        </is>
      </c>
      <c r="C40" t="inlineStr">
        <is>
          <t>Glaswaschtisch 180 × 65 cm mit zwei Becken</t>
        </is>
      </c>
      <c r="D40" t="inlineStr">
        <is>
          <t>180 × 65 cm · zwei Becken · ohne Unterschrank</t>
        </is>
      </c>
      <c r="E40" t="inlineStr">
        <is>
          <t>verfügbar</t>
        </is>
      </c>
      <c r="F40" t="inlineStr">
        <is>
          <t>Shop-Preis (öffentlich)</t>
        </is>
      </c>
      <c r="G40" s="4" t="n">
        <v>3050</v>
      </c>
      <c r="H40" s="1" t="n"/>
      <c r="K40">
        <f>IF(OR(I40="",J40=""),"",ROUND(I40*J40/1000000,2))</f>
        <v/>
      </c>
      <c r="L40" s="1">
        <f>G40</f>
        <v/>
      </c>
      <c r="M40" s="2" t="n"/>
      <c r="N40" s="3">
        <f>IF(OR(G40="",M40=""),"",1-M40/G40)</f>
        <v/>
      </c>
      <c r="O40" t="n">
        <v>3</v>
      </c>
      <c r="P40" t="n">
        <v>4</v>
      </c>
      <c r="Q40" s="1">
        <f>O40*Annahmen!$B$9</f>
        <v/>
      </c>
      <c r="R40" s="1">
        <f>P40*Annahmen!$B$9</f>
        <v/>
      </c>
      <c r="S40">
        <f>HYPERLINK(Annahmen!$B$11&amp;"#artikel/la-34-glass-washbasin","Stück öffnen")</f>
        <v/>
      </c>
      <c r="T40">
        <f>HYPERLINK("https://crea-glass.ch/product/glaswaschtisch-la-34/","Im Shop")</f>
        <v/>
      </c>
      <c r="U40" t="inlineStr">
        <is>
          <t>Shop-Preis gilt</t>
        </is>
      </c>
    </row>
    <row r="41">
      <c r="A41" t="inlineStr">
        <is>
          <t>LA 35</t>
        </is>
      </c>
      <c r="B41" t="inlineStr">
        <is>
          <t>Glaswaschtische</t>
        </is>
      </c>
      <c r="C41" t="inlineStr">
        <is>
          <t>Glaswaschtisch 100 × 55 cm mit Mineralgussmöbel und LED</t>
        </is>
      </c>
      <c r="D41" t="inlineStr">
        <is>
          <t>100 × 55 cm · Mineralgussmöbel · Glasplatte · LED</t>
        </is>
      </c>
      <c r="E41" t="inlineStr">
        <is>
          <t>verfügbar</t>
        </is>
      </c>
      <c r="F41" t="inlineStr">
        <is>
          <t>Aktionspreis Nov 2026 (bestätigt)</t>
        </is>
      </c>
      <c r="G41" s="1" t="n">
        <v>500</v>
      </c>
      <c r="H41" s="1" t="n">
        <v>1800</v>
      </c>
      <c r="K41">
        <f>IF(OR(I41="",J41=""),"",ROUND(I41*J41/1000000,2))</f>
        <v/>
      </c>
      <c r="L41" s="1">
        <f>G41</f>
        <v/>
      </c>
      <c r="M41" s="2" t="n"/>
      <c r="N41" s="3">
        <f>IF(OR(G41="",M41=""),"",1-M41/G41)</f>
        <v/>
      </c>
      <c r="O41" t="n">
        <v>1.5</v>
      </c>
      <c r="P41" t="n">
        <v>2.5</v>
      </c>
      <c r="Q41" s="1">
        <f>O41*Annahmen!$B$9</f>
        <v/>
      </c>
      <c r="R41" s="1">
        <f>P41*Annahmen!$B$9</f>
        <v/>
      </c>
      <c r="S41">
        <f>HYPERLINK(Annahmen!$B$11&amp;"#artikel/la-35-glass-washbasin","Stück öffnen")</f>
        <v/>
      </c>
      <c r="T41">
        <f>HYPERLINK("https://crea-glass.ch/product/glaswaschtisch-inkl-mineralgussmoebel-la-35/","Im Shop")</f>
        <v/>
      </c>
      <c r="U41" t="inlineStr">
        <is>
          <t>Aktionspreis bestätigt</t>
        </is>
      </c>
    </row>
    <row r="42">
      <c r="A42" t="inlineStr">
        <is>
          <t>LA 36</t>
        </is>
      </c>
      <c r="B42" t="inlineStr">
        <is>
          <t>Glaswaschtische</t>
        </is>
      </c>
      <c r="C42" t="inlineStr">
        <is>
          <t>Glaswaschtisch 98 × 57 cm, Türkis, mit Mineralgussmöbel</t>
        </is>
      </c>
      <c r="D42" t="inlineStr">
        <is>
          <t>98 × 57 cm · türkis · Mineralgussmöbel · Komplettset</t>
        </is>
      </c>
      <c r="E42" t="inlineStr">
        <is>
          <t>verfügbar</t>
        </is>
      </c>
      <c r="F42" t="inlineStr">
        <is>
          <t>Shop-Preis (öffentlich)</t>
        </is>
      </c>
      <c r="G42" s="4" t="n">
        <v>800</v>
      </c>
      <c r="H42" s="1" t="n">
        <v>1200</v>
      </c>
      <c r="K42">
        <f>IF(OR(I42="",J42=""),"",ROUND(I42*J42/1000000,2))</f>
        <v/>
      </c>
      <c r="L42" s="1">
        <f>G42</f>
        <v/>
      </c>
      <c r="M42" s="2" t="n"/>
      <c r="N42" s="3">
        <f>IF(OR(G42="",M42=""),"",1-M42/G42)</f>
        <v/>
      </c>
      <c r="O42" t="n">
        <v>3</v>
      </c>
      <c r="P42" t="n">
        <v>4</v>
      </c>
      <c r="Q42" s="1">
        <f>O42*Annahmen!$B$9</f>
        <v/>
      </c>
      <c r="R42" s="1">
        <f>P42*Annahmen!$B$9</f>
        <v/>
      </c>
      <c r="S42">
        <f>HYPERLINK(Annahmen!$B$11&amp;"#artikel/la-36-glass-washbasin-with-cabinet","Stück öffnen")</f>
        <v/>
      </c>
      <c r="T42">
        <f>HYPERLINK("https://crea-glass.ch/product/glaswaschtisch-la-36/","Im Shop")</f>
        <v/>
      </c>
      <c r="U42" t="inlineStr">
        <is>
          <t>Shop-Preis gilt (Shop-Aktion)</t>
        </is>
      </c>
    </row>
    <row r="43">
      <c r="A43" t="inlineStr">
        <is>
          <t>LA 37</t>
        </is>
      </c>
      <c r="B43" t="inlineStr">
        <is>
          <t>Glaswaschtische</t>
        </is>
      </c>
      <c r="C43" t="inlineStr">
        <is>
          <t>Geschwungener Glaswaschtisch 120,5 × 64 cm</t>
        </is>
      </c>
      <c r="D43" t="inlineStr">
        <is>
          <t>120,5 × 64 cm · geschwungen · Strukturglas</t>
        </is>
      </c>
      <c r="E43" t="inlineStr">
        <is>
          <t>verfügbar</t>
        </is>
      </c>
      <c r="F43" t="inlineStr">
        <is>
          <t>Shop-Preis (öffentlich)</t>
        </is>
      </c>
      <c r="G43" s="4" t="n">
        <v>1760</v>
      </c>
      <c r="H43" s="1" t="n"/>
      <c r="K43">
        <f>IF(OR(I43="",J43=""),"",ROUND(I43*J43/1000000,2))</f>
        <v/>
      </c>
      <c r="L43" s="1">
        <f>G43</f>
        <v/>
      </c>
      <c r="M43" s="2" t="n"/>
      <c r="N43" s="3">
        <f>IF(OR(G43="",M43=""),"",1-M43/G43)</f>
        <v/>
      </c>
      <c r="O43" t="n">
        <v>1.5</v>
      </c>
      <c r="P43" t="n">
        <v>2.5</v>
      </c>
      <c r="Q43" s="1">
        <f>O43*Annahmen!$B$9</f>
        <v/>
      </c>
      <c r="R43" s="1">
        <f>P43*Annahmen!$B$9</f>
        <v/>
      </c>
      <c r="S43">
        <f>HYPERLINK(Annahmen!$B$11&amp;"#artikel/la-37-glass-washbasin","Stück öffnen")</f>
        <v/>
      </c>
      <c r="T43">
        <f>HYPERLINK("https://crea-glass.ch/product/glaswaschtisch-la-37/","Im Shop")</f>
        <v/>
      </c>
      <c r="U43" t="inlineStr">
        <is>
          <t>Shop-Preis gilt</t>
        </is>
      </c>
    </row>
    <row r="44">
      <c r="A44" t="inlineStr">
        <is>
          <t>LA 40</t>
        </is>
      </c>
      <c r="B44" t="inlineStr">
        <is>
          <t>Glaswaschtische</t>
        </is>
      </c>
      <c r="C44" t="inlineStr">
        <is>
          <t>Glaswaschtisch 94 × 67 cm, Kupferton, mit Möbel</t>
        </is>
      </c>
      <c r="D44" t="inlineStr">
        <is>
          <t>94 × 67 cm · Kupferton · Möbel Kunstharz · LED · Komplettset</t>
        </is>
      </c>
      <c r="E44" t="inlineStr">
        <is>
          <t>verfügbar</t>
        </is>
      </c>
      <c r="F44" t="inlineStr">
        <is>
          <t>Shop-Preis (öffentlich)</t>
        </is>
      </c>
      <c r="G44" s="4" t="n">
        <v>1000</v>
      </c>
      <c r="H44" s="1" t="n"/>
      <c r="K44">
        <f>IF(OR(I44="",J44=""),"",ROUND(I44*J44/1000000,2))</f>
        <v/>
      </c>
      <c r="L44" s="1">
        <f>G44</f>
        <v/>
      </c>
      <c r="M44" s="2" t="n"/>
      <c r="N44" s="3">
        <f>IF(OR(G44="",M44=""),"",1-M44/G44)</f>
        <v/>
      </c>
      <c r="O44" t="n">
        <v>3</v>
      </c>
      <c r="P44" t="n">
        <v>4</v>
      </c>
      <c r="Q44" s="1">
        <f>O44*Annahmen!$B$9</f>
        <v/>
      </c>
      <c r="R44" s="1">
        <f>P44*Annahmen!$B$9</f>
        <v/>
      </c>
      <c r="S44">
        <f>HYPERLINK(Annahmen!$B$11&amp;"#artikel/la-40-glass-washbasin","Stück öffnen")</f>
        <v/>
      </c>
      <c r="T44">
        <f>HYPERLINK("https://crea-glass.ch/product/glaslavabo-la-40/","Im Shop")</f>
        <v/>
      </c>
      <c r="U44" t="inlineStr">
        <is>
          <t>Shop-Preis gilt</t>
        </is>
      </c>
    </row>
    <row r="45">
      <c r="A45" t="inlineStr">
        <is>
          <t>LA 42</t>
        </is>
      </c>
      <c r="B45" t="inlineStr">
        <is>
          <t>Glaswaschtische</t>
        </is>
      </c>
      <c r="C45" t="inlineStr">
        <is>
          <t>Glaswaschtisch 65 × 55 cm, Orange, mit LED</t>
        </is>
      </c>
      <c r="D45" t="inlineStr">
        <is>
          <t>65 × 55 cm · orange · LED · Unterschrank Steinoptik</t>
        </is>
      </c>
      <c r="E45" t="inlineStr">
        <is>
          <t>verfügbar</t>
        </is>
      </c>
      <c r="F45" t="inlineStr">
        <is>
          <t>Shop-Preis (öffentlich)</t>
        </is>
      </c>
      <c r="G45" s="4" t="n">
        <v>700</v>
      </c>
      <c r="H45" s="1" t="n"/>
      <c r="K45">
        <f>IF(OR(I45="",J45=""),"",ROUND(I45*J45/1000000,2))</f>
        <v/>
      </c>
      <c r="L45" s="1">
        <f>G45</f>
        <v/>
      </c>
      <c r="M45" s="2" t="n"/>
      <c r="N45" s="3">
        <f>IF(OR(G45="",M45=""),"",1-M45/G45)</f>
        <v/>
      </c>
      <c r="O45" t="n">
        <v>3</v>
      </c>
      <c r="P45" t="n">
        <v>4</v>
      </c>
      <c r="Q45" s="1">
        <f>O45*Annahmen!$B$9</f>
        <v/>
      </c>
      <c r="R45" s="1">
        <f>P45*Annahmen!$B$9</f>
        <v/>
      </c>
      <c r="S45">
        <f>HYPERLINK(Annahmen!$B$11&amp;"#artikel/la-42-glass-washbasin","Stück öffnen")</f>
        <v/>
      </c>
      <c r="T45">
        <f>HYPERLINK("https://crea-glass.ch/product/glaslavabo-la-42/","Im Shop")</f>
        <v/>
      </c>
      <c r="U45" t="inlineStr">
        <is>
          <t>Shop-Preis gilt</t>
        </is>
      </c>
    </row>
    <row r="46">
      <c r="A46" t="inlineStr">
        <is>
          <t>LA 47</t>
        </is>
      </c>
      <c r="B46" t="inlineStr">
        <is>
          <t>Glaswaschtische</t>
        </is>
      </c>
      <c r="C46" t="inlineStr">
        <is>
          <t>Waschplatz 68 × 61 cm mit Hochglanzmöbeln</t>
        </is>
      </c>
      <c r="D46" t="inlineStr">
        <is>
          <t>Lavabo 68 × 61 cm · Möbel weiss Hochglanz · Unterschrank 63,5 × 58,5 × 82 cm · Seitenschrank 63,5 × 58,5 × 159 cm · Komplettset</t>
        </is>
      </c>
      <c r="E46" t="inlineStr">
        <is>
          <t>verfügbar</t>
        </is>
      </c>
      <c r="F46" t="inlineStr">
        <is>
          <t>Shop-Preis (öffentlich)</t>
        </is>
      </c>
      <c r="G46" s="4" t="n">
        <v>1200</v>
      </c>
      <c r="H46" s="1" t="n"/>
      <c r="K46">
        <f>IF(OR(I46="",J46=""),"",ROUND(I46*J46/1000000,2))</f>
        <v/>
      </c>
      <c r="L46" s="1">
        <f>G46</f>
        <v/>
      </c>
      <c r="M46" s="2" t="n"/>
      <c r="N46" s="3">
        <f>IF(OR(G46="",M46=""),"",1-M46/G46)</f>
        <v/>
      </c>
      <c r="O46" t="n">
        <v>3</v>
      </c>
      <c r="P46" t="n">
        <v>4</v>
      </c>
      <c r="Q46" s="1">
        <f>O46*Annahmen!$B$9</f>
        <v/>
      </c>
      <c r="R46" s="1">
        <f>P46*Annahmen!$B$9</f>
        <v/>
      </c>
      <c r="S46">
        <f>HYPERLINK(Annahmen!$B$11&amp;"#artikel/la-47-glass-washbasin","Stück öffnen")</f>
        <v/>
      </c>
      <c r="T46">
        <f>HYPERLINK("https://crea-glass.ch/product/glaslavabo-unterschrank-la-47/","Im Shop")</f>
        <v/>
      </c>
      <c r="U46" t="inlineStr">
        <is>
          <t>Shop-Preis gilt</t>
        </is>
      </c>
    </row>
    <row r="47">
      <c r="A47" t="inlineStr">
        <is>
          <t>LA 49</t>
        </is>
      </c>
      <c r="B47" t="inlineStr">
        <is>
          <t>Glaswaschtische</t>
        </is>
      </c>
      <c r="C47" t="inlineStr">
        <is>
          <t>LED-Glaswaschtisch 175 cm mit Holz-Unterschrank</t>
        </is>
      </c>
      <c r="D47" t="inlineStr">
        <is>
          <t>175 cm · LED-Beleuchtung · Unterschrank Holz · Komplettset</t>
        </is>
      </c>
      <c r="E47" t="inlineStr">
        <is>
          <t>verfügbar</t>
        </is>
      </c>
      <c r="F47" t="inlineStr">
        <is>
          <t>Shop-Preis (öffentlich)</t>
        </is>
      </c>
      <c r="G47" s="4" t="n">
        <v>3900</v>
      </c>
      <c r="H47" s="1" t="n"/>
      <c r="K47">
        <f>IF(OR(I47="",J47=""),"",ROUND(I47*J47/1000000,2))</f>
        <v/>
      </c>
      <c r="L47" s="1">
        <f>G47</f>
        <v/>
      </c>
      <c r="M47" s="2" t="n"/>
      <c r="N47" s="3">
        <f>IF(OR(G47="",M47=""),"",1-M47/G47)</f>
        <v/>
      </c>
      <c r="O47" t="n">
        <v>3</v>
      </c>
      <c r="P47" t="n">
        <v>4</v>
      </c>
      <c r="Q47" s="1">
        <f>O47*Annahmen!$B$9</f>
        <v/>
      </c>
      <c r="R47" s="1">
        <f>P47*Annahmen!$B$9</f>
        <v/>
      </c>
      <c r="S47">
        <f>HYPERLINK(Annahmen!$B$11&amp;"#artikel/la-49-led-glass-washbasin-with-cabinet","Stück öffnen")</f>
        <v/>
      </c>
      <c r="T47">
        <f>HYPERLINK("https://crea-glass.ch/product/glaswaschtisch-mit-unterschrank-la-49/","Im Shop")</f>
        <v/>
      </c>
      <c r="U47" t="inlineStr">
        <is>
          <t>Shop-Preis gilt</t>
        </is>
      </c>
    </row>
    <row r="48">
      <c r="A48" t="inlineStr">
        <is>
          <t>LA 50</t>
        </is>
      </c>
      <c r="B48" t="inlineStr">
        <is>
          <t>Glaswaschtische</t>
        </is>
      </c>
      <c r="C48" t="inlineStr">
        <is>
          <t>Schwarze Glasschüssel mit Glasabdeckung 70 × 48 cm</t>
        </is>
      </c>
      <c r="D48" t="inlineStr">
        <is>
          <t>70 × 48 cm · ESG · inkl. Edelstahlkonsolen, Ventil, Siphon, Spritzschutz · CR-W5010</t>
        </is>
      </c>
      <c r="E48" t="inlineStr">
        <is>
          <t>verfügbar</t>
        </is>
      </c>
      <c r="F48" t="inlineStr">
        <is>
          <t>Aktionspreis Nov 2026 (bestätigt)</t>
        </is>
      </c>
      <c r="G48" s="1" t="n">
        <v>500</v>
      </c>
      <c r="H48" s="1" t="n">
        <v>1200</v>
      </c>
      <c r="K48">
        <f>IF(OR(I48="",J48=""),"",ROUND(I48*J48/1000000,2))</f>
        <v/>
      </c>
      <c r="L48" s="1">
        <f>G48</f>
        <v/>
      </c>
      <c r="M48" s="2" t="n"/>
      <c r="N48" s="3">
        <f>IF(OR(G48="",M48=""),"",1-M48/G48)</f>
        <v/>
      </c>
      <c r="O48" t="n">
        <v>1.5</v>
      </c>
      <c r="P48" t="n">
        <v>2.5</v>
      </c>
      <c r="Q48" s="1">
        <f>O48*Annahmen!$B$9</f>
        <v/>
      </c>
      <c r="R48" s="1">
        <f>P48*Annahmen!$B$9</f>
        <v/>
      </c>
      <c r="S48">
        <f>HYPERLINK(Annahmen!$B$11&amp;"#artikel/la-50-glass-bowl-with-splashback","Stück öffnen")</f>
        <v/>
      </c>
      <c r="T48">
        <f>HYPERLINK("https://crea-glass.ch/product/glasschuessel-und-abdeckung-esg-700x480mm-la-50/","Im Shop")</f>
        <v/>
      </c>
      <c r="U48" t="inlineStr">
        <is>
          <t>Aktionspreis bestätigt</t>
        </is>
      </c>
    </row>
    <row r="49">
      <c r="A49" t="inlineStr">
        <is>
          <t>LA 51</t>
        </is>
      </c>
      <c r="B49" t="inlineStr">
        <is>
          <t>Glaswaschtische</t>
        </is>
      </c>
      <c r="C49" t="inlineStr">
        <is>
          <t>LED-Waschplatz 163 × 62 cm mit Möbel und LED-Spiegel</t>
        </is>
      </c>
      <c r="D49" t="inlineStr">
        <is>
          <t>163 × 62 cm · LED · Möbel Steinoptik · Armaturen · LED-Spiegel 100 × 70 cm</t>
        </is>
      </c>
      <c r="E49" t="inlineStr">
        <is>
          <t>verfügbar</t>
        </is>
      </c>
      <c r="F49" t="inlineStr">
        <is>
          <t>Shop-Preis (öffentlich)</t>
        </is>
      </c>
      <c r="G49" s="4" t="n">
        <v>5000</v>
      </c>
      <c r="H49" s="1" t="n"/>
      <c r="K49">
        <f>IF(OR(I49="",J49=""),"",ROUND(I49*J49/1000000,2))</f>
        <v/>
      </c>
      <c r="L49" s="1">
        <f>G49</f>
        <v/>
      </c>
      <c r="M49" s="2" t="n"/>
      <c r="N49" s="3">
        <f>IF(OR(G49="",M49=""),"",1-M49/G49)</f>
        <v/>
      </c>
      <c r="O49" t="n">
        <v>3</v>
      </c>
      <c r="P49" t="n">
        <v>4</v>
      </c>
      <c r="Q49" s="1">
        <f>O49*Annahmen!$B$9</f>
        <v/>
      </c>
      <c r="R49" s="1">
        <f>P49*Annahmen!$B$9</f>
        <v/>
      </c>
      <c r="S49">
        <f>HYPERLINK(Annahmen!$B$11&amp;"#artikel/la-51-led-washbasin-complete-set","Stück öffnen")</f>
        <v/>
      </c>
      <c r="T49">
        <f>HYPERLINK("https://crea-glass.ch/product/glaswaschtisch-komplett-mit-unterschrank-la51/","Im Shop")</f>
        <v/>
      </c>
      <c r="U49" t="inlineStr">
        <is>
          <t>Shop-Preis gilt</t>
        </is>
      </c>
    </row>
    <row r="50">
      <c r="A50" t="inlineStr">
        <is>
          <t>LA 52</t>
        </is>
      </c>
      <c r="B50" t="inlineStr">
        <is>
          <t>Glaswaschtische</t>
        </is>
      </c>
      <c r="C50" t="inlineStr">
        <is>
          <t>Glaswaschtisch 74 × 50,8 cm mit ovalem Becken</t>
        </is>
      </c>
      <c r="D50" t="inlineStr">
        <is>
          <t>74 × 50,8 cm · Strukturglas klar</t>
        </is>
      </c>
      <c r="E50" t="inlineStr">
        <is>
          <t>verfügbar</t>
        </is>
      </c>
      <c r="F50" t="inlineStr">
        <is>
          <t>Shop-Preis (öffentlich)</t>
        </is>
      </c>
      <c r="G50" s="4" t="n">
        <v>950</v>
      </c>
      <c r="H50" s="1" t="n"/>
      <c r="K50">
        <f>IF(OR(I50="",J50=""),"",ROUND(I50*J50/1000000,2))</f>
        <v/>
      </c>
      <c r="L50" s="1">
        <f>G50</f>
        <v/>
      </c>
      <c r="M50" s="2" t="n"/>
      <c r="N50" s="3">
        <f>IF(OR(G50="",M50=""),"",1-M50/G50)</f>
        <v/>
      </c>
      <c r="O50" t="n">
        <v>1.5</v>
      </c>
      <c r="P50" t="n">
        <v>2.5</v>
      </c>
      <c r="Q50" s="1">
        <f>O50*Annahmen!$B$9</f>
        <v/>
      </c>
      <c r="R50" s="1">
        <f>P50*Annahmen!$B$9</f>
        <v/>
      </c>
      <c r="S50">
        <f>HYPERLINK(Annahmen!$B$11&amp;"#artikel/la-52-glass-washbasin","Stück öffnen")</f>
        <v/>
      </c>
      <c r="T50">
        <f>HYPERLINK("https://crea-glass.ch/product/glaswaschtisch-lavabo-la52/","Im Shop")</f>
        <v/>
      </c>
      <c r="U50" t="inlineStr">
        <is>
          <t>Shop-Preis gilt</t>
        </is>
      </c>
    </row>
    <row r="51">
      <c r="A51" t="inlineStr">
        <is>
          <t>LA 53</t>
        </is>
      </c>
      <c r="B51" t="inlineStr">
        <is>
          <t>Glaswaschtische</t>
        </is>
      </c>
      <c r="C51" t="inlineStr">
        <is>
          <t>Glaswaschtisch 87 × 52 cm mit geschwungener Kante</t>
        </is>
      </c>
      <c r="D51" t="inlineStr">
        <is>
          <t>87 × 52 cm · geschwungene Kante · Strukturglas</t>
        </is>
      </c>
      <c r="E51" t="inlineStr">
        <is>
          <t>verfügbar</t>
        </is>
      </c>
      <c r="F51" t="inlineStr">
        <is>
          <t>Shop-Preis (öffentlich)</t>
        </is>
      </c>
      <c r="G51" s="4" t="n">
        <v>1300</v>
      </c>
      <c r="H51" s="1" t="n"/>
      <c r="K51">
        <f>IF(OR(I51="",J51=""),"",ROUND(I51*J51/1000000,2))</f>
        <v/>
      </c>
      <c r="L51" s="1">
        <f>G51</f>
        <v/>
      </c>
      <c r="M51" s="2" t="n"/>
      <c r="N51" s="3">
        <f>IF(OR(G51="",M51=""),"",1-M51/G51)</f>
        <v/>
      </c>
      <c r="O51" t="n">
        <v>1.5</v>
      </c>
      <c r="P51" t="n">
        <v>2.5</v>
      </c>
      <c r="Q51" s="1">
        <f>O51*Annahmen!$B$9</f>
        <v/>
      </c>
      <c r="R51" s="1">
        <f>P51*Annahmen!$B$9</f>
        <v/>
      </c>
      <c r="S51">
        <f>HYPERLINK(Annahmen!$B$11&amp;"#artikel/la-53-glass-washbasin","Stück öffnen")</f>
        <v/>
      </c>
      <c r="T51">
        <f>HYPERLINK("https://crea-glass.ch/product/glaswaschtisch-la53/","Im Shop")</f>
        <v/>
      </c>
      <c r="U51" t="inlineStr">
        <is>
          <t>Shop-Preis gilt</t>
        </is>
      </c>
    </row>
    <row r="52">
      <c r="A52" t="inlineStr">
        <is>
          <t>LA 55</t>
        </is>
      </c>
      <c r="B52" t="inlineStr">
        <is>
          <t>Glaswaschtische</t>
        </is>
      </c>
      <c r="C52" t="inlineStr">
        <is>
          <t>Glaswaschtisch 100 × 52 cm mit geschwungener Kante</t>
        </is>
      </c>
      <c r="D52" t="inlineStr">
        <is>
          <t>100 × 52 cm · geschwungene Kante · Strukturglas</t>
        </is>
      </c>
      <c r="E52" t="inlineStr">
        <is>
          <t>verfügbar</t>
        </is>
      </c>
      <c r="F52" t="inlineStr">
        <is>
          <t>Shop-Preis (öffentlich)</t>
        </is>
      </c>
      <c r="G52" s="4" t="n">
        <v>1600</v>
      </c>
      <c r="H52" s="1" t="n"/>
      <c r="K52">
        <f>IF(OR(I52="",J52=""),"",ROUND(I52*J52/1000000,2))</f>
        <v/>
      </c>
      <c r="L52" s="1">
        <f>G52</f>
        <v/>
      </c>
      <c r="M52" s="2" t="n"/>
      <c r="N52" s="3">
        <f>IF(OR(G52="",M52=""),"",1-M52/G52)</f>
        <v/>
      </c>
      <c r="O52" t="n">
        <v>1.5</v>
      </c>
      <c r="P52" t="n">
        <v>2.5</v>
      </c>
      <c r="Q52" s="1">
        <f>O52*Annahmen!$B$9</f>
        <v/>
      </c>
      <c r="R52" s="1">
        <f>P52*Annahmen!$B$9</f>
        <v/>
      </c>
      <c r="S52">
        <f>HYPERLINK(Annahmen!$B$11&amp;"#artikel/la-55-glass-washbasin","Stück öffnen")</f>
        <v/>
      </c>
      <c r="T52">
        <f>HYPERLINK("https://crea-glass.ch/product/glaswaschtisch-la-55/","Im Shop")</f>
        <v/>
      </c>
      <c r="U52" t="inlineStr">
        <is>
          <t>Shop-Preis gilt</t>
        </is>
      </c>
    </row>
    <row r="53">
      <c r="A53" t="inlineStr">
        <is>
          <t>LA 56</t>
        </is>
      </c>
      <c r="B53" t="inlineStr">
        <is>
          <t>Glaswaschtische</t>
        </is>
      </c>
      <c r="C53" t="inlineStr">
        <is>
          <t>Glaswaschtisch 100 × 57 cm mit gerader Kante</t>
        </is>
      </c>
      <c r="D53" t="inlineStr">
        <is>
          <t>100 × 57 cm · Strukturglas</t>
        </is>
      </c>
      <c r="E53" t="inlineStr">
        <is>
          <t>verfügbar</t>
        </is>
      </c>
      <c r="F53" t="inlineStr">
        <is>
          <t>Shop-Preis (öffentlich)</t>
        </is>
      </c>
      <c r="G53" s="4" t="n">
        <v>1300</v>
      </c>
      <c r="H53" s="1" t="n"/>
      <c r="K53">
        <f>IF(OR(I53="",J53=""),"",ROUND(I53*J53/1000000,2))</f>
        <v/>
      </c>
      <c r="L53" s="1">
        <f>G53</f>
        <v/>
      </c>
      <c r="M53" s="2" t="n"/>
      <c r="N53" s="3">
        <f>IF(OR(G53="",M53=""),"",1-M53/G53)</f>
        <v/>
      </c>
      <c r="O53" t="n">
        <v>1.5</v>
      </c>
      <c r="P53" t="n">
        <v>2.5</v>
      </c>
      <c r="Q53" s="1">
        <f>O53*Annahmen!$B$9</f>
        <v/>
      </c>
      <c r="R53" s="1">
        <f>P53*Annahmen!$B$9</f>
        <v/>
      </c>
      <c r="S53">
        <f>HYPERLINK(Annahmen!$B$11&amp;"#artikel/la-56-glass-washbasin","Stück öffnen")</f>
        <v/>
      </c>
      <c r="T53">
        <f>HYPERLINK("https://crea-glass.ch/product/glaswaschtisch-la-56/","Im Shop")</f>
        <v/>
      </c>
      <c r="U53" t="inlineStr">
        <is>
          <t>Shop-Preis gilt</t>
        </is>
      </c>
    </row>
    <row r="54">
      <c r="A54" t="inlineStr">
        <is>
          <t>LA 57</t>
        </is>
      </c>
      <c r="B54" t="inlineStr">
        <is>
          <t>Glaswaschtische</t>
        </is>
      </c>
      <c r="C54" t="inlineStr">
        <is>
          <t>Handwaschbecken 50 × 50 cm, Weissglas</t>
        </is>
      </c>
      <c r="D54" t="inlineStr">
        <is>
          <t>50 × 50 cm · weiss</t>
        </is>
      </c>
      <c r="E54" t="inlineStr">
        <is>
          <t>verfügbar</t>
        </is>
      </c>
      <c r="F54" t="inlineStr">
        <is>
          <t>Katalog 05/2025 (nicht im Shop)</t>
        </is>
      </c>
      <c r="G54" s="1" t="n">
        <v>100</v>
      </c>
      <c r="H54" s="1" t="n"/>
      <c r="K54">
        <f>IF(OR(I54="",J54=""),"",ROUND(I54*J54/1000000,2))</f>
        <v/>
      </c>
      <c r="L54" s="1">
        <f>IF(G54="","",ROUND(G54*(1-IF(G54&lt;=300,Annahmen!$B$2,IF(G54&lt;=1000,Annahmen!$B$3,IF(G54&lt;=3000,Annahmen!$B$4,Annahmen!$B$5))))/Annahmen!$B$6,0)*Annahmen!$B$6)</f>
        <v/>
      </c>
      <c r="M54" s="2" t="n"/>
      <c r="N54" s="3">
        <f>IF(OR(G54="",M54=""),"",1-M54/G54)</f>
        <v/>
      </c>
      <c r="O54" t="n">
        <v>1.5</v>
      </c>
      <c r="P54" t="n">
        <v>2.5</v>
      </c>
      <c r="Q54" s="1">
        <f>O54*Annahmen!$B$9</f>
        <v/>
      </c>
      <c r="R54" s="1">
        <f>P54*Annahmen!$B$9</f>
        <v/>
      </c>
      <c r="S54">
        <f>HYPERLINK(Annahmen!$B$11&amp;"#artikel/la-57-glass-washbasin","Stück öffnen")</f>
        <v/>
      </c>
      <c r="T54" t="inlineStr"/>
      <c r="U54" t="inlineStr">
        <is>
          <t>Nicht im Shop. Katalogpreis 05/2025, Vorschlag mit Rabattstufe</t>
        </is>
      </c>
    </row>
    <row r="55">
      <c r="A55" t="inlineStr">
        <is>
          <t>LA 58</t>
        </is>
      </c>
      <c r="B55" t="inlineStr">
        <is>
          <t>Glaswaschtische</t>
        </is>
      </c>
      <c r="C55" t="inlineStr">
        <is>
          <t>Rundes Aufsatzbecken Ø 41 cm, Strukturglas</t>
        </is>
      </c>
      <c r="D55" t="inlineStr">
        <is>
          <t>Ø 41 cm · Strukturglas klar</t>
        </is>
      </c>
      <c r="E55" t="inlineStr">
        <is>
          <t>verfügbar</t>
        </is>
      </c>
      <c r="F55" t="inlineStr">
        <is>
          <t>Shop-Preis (öffentlich)</t>
        </is>
      </c>
      <c r="G55" s="4" t="n">
        <v>600</v>
      </c>
      <c r="H55" s="1" t="n"/>
      <c r="K55">
        <f>IF(OR(I55="",J55=""),"",ROUND(I55*J55/1000000,2))</f>
        <v/>
      </c>
      <c r="L55" s="1">
        <f>G55</f>
        <v/>
      </c>
      <c r="M55" s="2" t="n"/>
      <c r="N55" s="3">
        <f>IF(OR(G55="",M55=""),"",1-M55/G55)</f>
        <v/>
      </c>
      <c r="O55" t="n">
        <v>1.5</v>
      </c>
      <c r="P55" t="n">
        <v>2.5</v>
      </c>
      <c r="Q55" s="1">
        <f>O55*Annahmen!$B$9</f>
        <v/>
      </c>
      <c r="R55" s="1">
        <f>P55*Annahmen!$B$9</f>
        <v/>
      </c>
      <c r="S55">
        <f>HYPERLINK(Annahmen!$B$11&amp;"#artikel/la-58-glass-washbasin","Stück öffnen")</f>
        <v/>
      </c>
      <c r="T55">
        <f>HYPERLINK("https://crea-glass.ch/product/glasschuessel-klar-la58/","Im Shop")</f>
        <v/>
      </c>
      <c r="U55" t="inlineStr">
        <is>
          <t>Shop-Preis gilt</t>
        </is>
      </c>
    </row>
    <row r="56">
      <c r="A56" t="inlineStr">
        <is>
          <t>LA 59</t>
        </is>
      </c>
      <c r="B56" t="inlineStr">
        <is>
          <t>Glaswaschtische</t>
        </is>
      </c>
      <c r="C56" t="inlineStr">
        <is>
          <t>Aufsatzbecken 55,5 × 36,5 cm, Rot</t>
        </is>
      </c>
      <c r="D56" t="inlineStr">
        <is>
          <t>55,5 × 36,5 cm · rot</t>
        </is>
      </c>
      <c r="E56" t="inlineStr">
        <is>
          <t>verfügbar</t>
        </is>
      </c>
      <c r="F56" t="inlineStr">
        <is>
          <t>Aktionspreis Nov 2026 (bestätigt)</t>
        </is>
      </c>
      <c r="G56" s="1" t="n">
        <v>100</v>
      </c>
      <c r="H56" s="1" t="n"/>
      <c r="K56">
        <f>IF(OR(I56="",J56=""),"",ROUND(I56*J56/1000000,2))</f>
        <v/>
      </c>
      <c r="L56" s="1">
        <f>G56</f>
        <v/>
      </c>
      <c r="M56" s="2" t="n"/>
      <c r="N56" s="3">
        <f>IF(OR(G56="",M56=""),"",1-M56/G56)</f>
        <v/>
      </c>
      <c r="O56" t="n">
        <v>1.5</v>
      </c>
      <c r="P56" t="n">
        <v>2.5</v>
      </c>
      <c r="Q56" s="1">
        <f>O56*Annahmen!$B$9</f>
        <v/>
      </c>
      <c r="R56" s="1">
        <f>P56*Annahmen!$B$9</f>
        <v/>
      </c>
      <c r="S56">
        <f>HYPERLINK(Annahmen!$B$11&amp;"#artikel/la-59-glass-washbasin","Stück öffnen")</f>
        <v/>
      </c>
      <c r="T56" t="inlineStr"/>
      <c r="U56" t="inlineStr">
        <is>
          <t>Aktionspreis bestätigt</t>
        </is>
      </c>
    </row>
    <row r="57">
      <c r="A57" t="inlineStr">
        <is>
          <t>LA 60</t>
        </is>
      </c>
      <c r="B57" t="inlineStr">
        <is>
          <t>Glaswaschtische</t>
        </is>
      </c>
      <c r="C57" t="inlineStr">
        <is>
          <t>Aufsatzbecken 50,5 × 40 cm, Grün-Grau</t>
        </is>
      </c>
      <c r="D57" t="inlineStr">
        <is>
          <t>50,5 × 40 cm · grün-grau</t>
        </is>
      </c>
      <c r="E57" t="inlineStr">
        <is>
          <t>verfügbar</t>
        </is>
      </c>
      <c r="F57" t="inlineStr">
        <is>
          <t>Shop-Preis (öffentlich)</t>
        </is>
      </c>
      <c r="G57" s="4" t="n">
        <v>600</v>
      </c>
      <c r="H57" s="1" t="n"/>
      <c r="K57">
        <f>IF(OR(I57="",J57=""),"",ROUND(I57*J57/1000000,2))</f>
        <v/>
      </c>
      <c r="L57" s="1">
        <f>G57</f>
        <v/>
      </c>
      <c r="M57" s="2" t="n"/>
      <c r="N57" s="3">
        <f>IF(OR(G57="",M57=""),"",1-M57/G57)</f>
        <v/>
      </c>
      <c r="O57" t="n">
        <v>1.5</v>
      </c>
      <c r="P57" t="n">
        <v>2.5</v>
      </c>
      <c r="Q57" s="1">
        <f>O57*Annahmen!$B$9</f>
        <v/>
      </c>
      <c r="R57" s="1">
        <f>P57*Annahmen!$B$9</f>
        <v/>
      </c>
      <c r="S57">
        <f>HYPERLINK(Annahmen!$B$11&amp;"#artikel/la-60-glass-washbasin","Stück öffnen")</f>
        <v/>
      </c>
      <c r="T57">
        <f>HYPERLINK("https://crea-glass.ch/product/glasschuessel-klar-la-60/","Im Shop")</f>
        <v/>
      </c>
      <c r="U57" t="inlineStr">
        <is>
          <t>Shop-Preis gilt</t>
        </is>
      </c>
    </row>
    <row r="58">
      <c r="A58" s="5" t="inlineStr">
        <is>
          <t>LA 61</t>
        </is>
      </c>
      <c r="B58" s="5" t="inlineStr">
        <is>
          <t>Glaswaschtische</t>
        </is>
      </c>
      <c r="C58" s="5" t="inlineStr">
        <is>
          <t>Aufsatzbecken 55 × 37 cm, Schwarz-Gold</t>
        </is>
      </c>
      <c r="D58" s="5" t="inlineStr">
        <is>
          <t>55 × 37 cm · schwarz-gold</t>
        </is>
      </c>
      <c r="E58" s="5" t="inlineStr">
        <is>
          <t>verkauft</t>
        </is>
      </c>
      <c r="F58" s="5" t="inlineStr">
        <is>
          <t>Katalog 05/2025 (nicht im Shop)</t>
        </is>
      </c>
      <c r="G58" s="6" t="n">
        <v>300</v>
      </c>
      <c r="H58" s="6" t="n"/>
      <c r="I58" s="5" t="n"/>
      <c r="J58" s="5" t="n"/>
      <c r="K58" s="5">
        <f>IF(OR(I58="",J58=""),"",ROUND(I58*J58/1000000,2))</f>
        <v/>
      </c>
      <c r="L58" s="6" t="n"/>
      <c r="M58" s="6" t="n"/>
      <c r="N58" s="7">
        <f>IF(OR(G58="",M58=""),"",1-M58/G58)</f>
        <v/>
      </c>
      <c r="O58" s="5" t="n">
        <v>1.5</v>
      </c>
      <c r="P58" s="5" t="n">
        <v>2.5</v>
      </c>
      <c r="Q58" s="6">
        <f>O58*Annahmen!$B$9</f>
        <v/>
      </c>
      <c r="R58" s="6">
        <f>P58*Annahmen!$B$9</f>
        <v/>
      </c>
      <c r="S58" s="5">
        <f>HYPERLINK(Annahmen!$B$11&amp;"#artikel/la-61-glass-washbasin","Stück öffnen")</f>
        <v/>
      </c>
      <c r="T58" s="5" t="inlineStr"/>
      <c r="U58" s="5" t="inlineStr">
        <is>
          <t>Verkauft – nur Dokumentation</t>
        </is>
      </c>
    </row>
    <row r="59">
      <c r="A59" t="inlineStr">
        <is>
          <t>LA 62</t>
        </is>
      </c>
      <c r="B59" t="inlineStr">
        <is>
          <t>Glaswaschtische</t>
        </is>
      </c>
      <c r="C59" t="inlineStr">
        <is>
          <t>Glaswaschtisch 80 × 55 cm, Gelb, mit Mineralgusskonsole</t>
        </is>
      </c>
      <c r="D59" t="inlineStr">
        <is>
          <t>80 × 55 cm · gelb · Mineralgusskonsole · Ablaufventil · Lochbohrung für Armatur möglich</t>
        </is>
      </c>
      <c r="E59" t="inlineStr">
        <is>
          <t>verfügbar</t>
        </is>
      </c>
      <c r="F59" t="inlineStr">
        <is>
          <t>Shop-Preis (öffentlich)</t>
        </is>
      </c>
      <c r="G59" s="4" t="n">
        <v>400</v>
      </c>
      <c r="H59" s="1" t="n"/>
      <c r="K59">
        <f>IF(OR(I59="",J59=""),"",ROUND(I59*J59/1000000,2))</f>
        <v/>
      </c>
      <c r="L59" s="1">
        <f>G59</f>
        <v/>
      </c>
      <c r="M59" s="2" t="n"/>
      <c r="N59" s="3">
        <f>IF(OR(G59="",M59=""),"",1-M59/G59)</f>
        <v/>
      </c>
      <c r="O59" t="n">
        <v>1.5</v>
      </c>
      <c r="P59" t="n">
        <v>2.5</v>
      </c>
      <c r="Q59" s="1">
        <f>O59*Annahmen!$B$9</f>
        <v/>
      </c>
      <c r="R59" s="1">
        <f>P59*Annahmen!$B$9</f>
        <v/>
      </c>
      <c r="S59">
        <f>HYPERLINK(Annahmen!$B$11&amp;"#artikel/la-62-glass-washbasin","Stück öffnen")</f>
        <v/>
      </c>
      <c r="T59">
        <f>HYPERLINK("https://crea-glass.ch/product/glaswaschtisch-gelb-lackiert-inkl-mineralgusskonsole-weiss-la-62/","Im Shop")</f>
        <v/>
      </c>
      <c r="U59" t="inlineStr">
        <is>
          <t>Shop-Preis gilt</t>
        </is>
      </c>
    </row>
    <row r="60">
      <c r="A60" t="inlineStr">
        <is>
          <t>LA 63</t>
        </is>
      </c>
      <c r="B60" t="inlineStr">
        <is>
          <t>Glaswaschtische</t>
        </is>
      </c>
      <c r="C60" t="inlineStr">
        <is>
          <t>Handwaschbecken 49,8 × 51,8 cm, Blau</t>
        </is>
      </c>
      <c r="D60" t="inlineStr">
        <is>
          <t>49,8 × 51,8 cm · blau</t>
        </is>
      </c>
      <c r="E60" t="inlineStr">
        <is>
          <t>verfügbar</t>
        </is>
      </c>
      <c r="F60" t="inlineStr">
        <is>
          <t>Shop-Preis (öffentlich)</t>
        </is>
      </c>
      <c r="G60" s="4" t="n">
        <v>100</v>
      </c>
      <c r="H60" s="1" t="n"/>
      <c r="K60">
        <f>IF(OR(I60="",J60=""),"",ROUND(I60*J60/1000000,2))</f>
        <v/>
      </c>
      <c r="L60" s="1">
        <f>G60</f>
        <v/>
      </c>
      <c r="M60" s="2" t="n"/>
      <c r="N60" s="3">
        <f>IF(OR(G60="",M60=""),"",1-M60/G60)</f>
        <v/>
      </c>
      <c r="O60" t="n">
        <v>1.5</v>
      </c>
      <c r="P60" t="n">
        <v>2.5</v>
      </c>
      <c r="Q60" s="1">
        <f>O60*Annahmen!$B$9</f>
        <v/>
      </c>
      <c r="R60" s="1">
        <f>P60*Annahmen!$B$9</f>
        <v/>
      </c>
      <c r="S60">
        <f>HYPERLINK(Annahmen!$B$11&amp;"#artikel/la-63-glass-washbasin","Stück öffnen")</f>
        <v/>
      </c>
      <c r="T60">
        <f>HYPERLINK("https://crea-glass.ch/product/glaslavabo-blau-lackiert-la-63/","Im Shop")</f>
        <v/>
      </c>
      <c r="U60" t="inlineStr">
        <is>
          <t>Shop-Preis gilt</t>
        </is>
      </c>
    </row>
    <row r="61">
      <c r="A61" t="inlineStr">
        <is>
          <t>LA 64</t>
        </is>
      </c>
      <c r="B61" t="inlineStr">
        <is>
          <t>Glaswaschtische</t>
        </is>
      </c>
      <c r="C61" t="inlineStr">
        <is>
          <t>Mundgeblasenes Aufsatzbecken Ø 41,8 cm, Blau</t>
        </is>
      </c>
      <c r="D61" t="inlineStr">
        <is>
          <t>Ø 41,8 cm · mundgeblasen · blau</t>
        </is>
      </c>
      <c r="E61" t="inlineStr">
        <is>
          <t>verfügbar</t>
        </is>
      </c>
      <c r="F61" t="inlineStr">
        <is>
          <t>Shop-Preis (öffentlich)</t>
        </is>
      </c>
      <c r="G61" s="4" t="n">
        <v>300</v>
      </c>
      <c r="H61" s="1" t="n"/>
      <c r="K61">
        <f>IF(OR(I61="",J61=""),"",ROUND(I61*J61/1000000,2))</f>
        <v/>
      </c>
      <c r="L61" s="1">
        <f>G61</f>
        <v/>
      </c>
      <c r="M61" s="2" t="n"/>
      <c r="N61" s="3">
        <f>IF(OR(G61="",M61=""),"",1-M61/G61)</f>
        <v/>
      </c>
      <c r="O61" t="n">
        <v>1.5</v>
      </c>
      <c r="P61" t="n">
        <v>2.5</v>
      </c>
      <c r="Q61" s="1">
        <f>O61*Annahmen!$B$9</f>
        <v/>
      </c>
      <c r="R61" s="1">
        <f>P61*Annahmen!$B$9</f>
        <v/>
      </c>
      <c r="S61">
        <f>HYPERLINK(Annahmen!$B$11&amp;"#artikel/la-64-glass-washbasin","Stück öffnen")</f>
        <v/>
      </c>
      <c r="T61">
        <f>HYPERLINK("https://crea-glass.ch/product/glaslavabo-blau-mundgeblasen-la-64/","Im Shop")</f>
        <v/>
      </c>
      <c r="U61" t="inlineStr">
        <is>
          <t>Shop-Preis gilt</t>
        </is>
      </c>
    </row>
    <row r="62">
      <c r="A62" t="inlineStr">
        <is>
          <t>LA 65</t>
        </is>
      </c>
      <c r="B62" t="inlineStr">
        <is>
          <t>Glaswaschtische</t>
        </is>
      </c>
      <c r="C62" t="inlineStr">
        <is>
          <t>Mundgeblasenes Aufsatzbecken Ø 41,8 cm mit Glastablar</t>
        </is>
      </c>
      <c r="D62" t="inlineStr">
        <is>
          <t>Ø 41,8 cm · mundgeblasen blau · Glastablar 77 × 44 × 3 cm · Konsolen · Ablaufventil</t>
        </is>
      </c>
      <c r="E62" t="inlineStr">
        <is>
          <t>verfügbar</t>
        </is>
      </c>
      <c r="F62" t="inlineStr">
        <is>
          <t>Shop-Preis (öffentlich)</t>
        </is>
      </c>
      <c r="G62" s="4" t="n">
        <v>500</v>
      </c>
      <c r="H62" s="1" t="n"/>
      <c r="K62">
        <f>IF(OR(I62="",J62=""),"",ROUND(I62*J62/1000000,2))</f>
        <v/>
      </c>
      <c r="L62" s="1">
        <f>G62</f>
        <v/>
      </c>
      <c r="M62" s="2" t="n"/>
      <c r="N62" s="3">
        <f>IF(OR(G62="",M62=""),"",1-M62/G62)</f>
        <v/>
      </c>
      <c r="O62" t="n">
        <v>1.5</v>
      </c>
      <c r="P62" t="n">
        <v>2.5</v>
      </c>
      <c r="Q62" s="1">
        <f>O62*Annahmen!$B$9</f>
        <v/>
      </c>
      <c r="R62" s="1">
        <f>P62*Annahmen!$B$9</f>
        <v/>
      </c>
      <c r="S62">
        <f>HYPERLINK(Annahmen!$B$11&amp;"#artikel/la-65-glass-washbasin","Stück öffnen")</f>
        <v/>
      </c>
      <c r="T62">
        <f>HYPERLINK("https://crea-glass.ch/product/glasschuessel-inkl-glastablar-blau-ablaufventil-und-konsolen-la-65/","Im Shop")</f>
        <v/>
      </c>
      <c r="U62" t="inlineStr">
        <is>
          <t>Shop-Preis gilt</t>
        </is>
      </c>
    </row>
    <row r="63">
      <c r="A63" t="inlineStr">
        <is>
          <t>SP 01</t>
        </is>
      </c>
      <c r="B63" t="inlineStr">
        <is>
          <t>Spiegel</t>
        </is>
      </c>
      <c r="C63" t="inlineStr">
        <is>
          <t>LED-Spiegel 113 × 60 cm mit orangem Glasrahmen</t>
        </is>
      </c>
      <c r="D63" t="inlineStr">
        <is>
          <t>113 × 60 cm · Glasrahmen · LED</t>
        </is>
      </c>
      <c r="E63" t="inlineStr">
        <is>
          <t>verfügbar</t>
        </is>
      </c>
      <c r="F63" t="inlineStr">
        <is>
          <t>Shop-Preis (öffentlich)</t>
        </is>
      </c>
      <c r="G63" s="4" t="n">
        <v>500</v>
      </c>
      <c r="H63" s="1" t="n"/>
      <c r="K63">
        <f>IF(OR(I63="",J63=""),"",ROUND(I63*J63/1000000,2))</f>
        <v/>
      </c>
      <c r="L63" s="1">
        <f>G63</f>
        <v/>
      </c>
      <c r="M63" s="2" t="n"/>
      <c r="N63" s="3">
        <f>IF(OR(G63="",M63=""),"",1-M63/G63)</f>
        <v/>
      </c>
      <c r="O63" t="n">
        <v>1.5</v>
      </c>
      <c r="P63" t="n">
        <v>2</v>
      </c>
      <c r="Q63" s="1">
        <f>O63*Annahmen!$B$9</f>
        <v/>
      </c>
      <c r="R63" s="1">
        <f>P63*Annahmen!$B$9</f>
        <v/>
      </c>
      <c r="S63">
        <f>HYPERLINK(Annahmen!$B$11&amp;"#artikel/sp-01-glass-mirror","Stück öffnen")</f>
        <v/>
      </c>
      <c r="T63">
        <f>HYPERLINK("https://crea-glass.ch/product/spiegel-mit-glasrahmen-led-sp-01/","Im Shop")</f>
        <v/>
      </c>
      <c r="U63" t="inlineStr">
        <is>
          <t>Shop-Preis gilt</t>
        </is>
      </c>
    </row>
    <row r="64">
      <c r="A64" t="inlineStr">
        <is>
          <t>SP 02</t>
        </is>
      </c>
      <c r="B64" t="inlineStr">
        <is>
          <t>Spiegel</t>
        </is>
      </c>
      <c r="C64" t="inlineStr">
        <is>
          <t>Spiegel 100 × 95 cm mit rotem Glasrahmen</t>
        </is>
      </c>
      <c r="D64" t="inlineStr">
        <is>
          <t>100 × 95 cm · Glasrahmen</t>
        </is>
      </c>
      <c r="E64" t="inlineStr">
        <is>
          <t>verfügbar</t>
        </is>
      </c>
      <c r="F64" t="inlineStr">
        <is>
          <t>Shop-Preis (öffentlich)</t>
        </is>
      </c>
      <c r="G64" s="4" t="n">
        <v>400</v>
      </c>
      <c r="H64" s="1" t="n"/>
      <c r="K64">
        <f>IF(OR(I64="",J64=""),"",ROUND(I64*J64/1000000,2))</f>
        <v/>
      </c>
      <c r="L64" s="1">
        <f>G64</f>
        <v/>
      </c>
      <c r="M64" s="2" t="n"/>
      <c r="N64" s="3">
        <f>IF(OR(G64="",M64=""),"",1-M64/G64)</f>
        <v/>
      </c>
      <c r="O64" t="n">
        <v>1</v>
      </c>
      <c r="P64" t="n">
        <v>1.5</v>
      </c>
      <c r="Q64" s="1">
        <f>O64*Annahmen!$B$9</f>
        <v/>
      </c>
      <c r="R64" s="1">
        <f>P64*Annahmen!$B$9</f>
        <v/>
      </c>
      <c r="S64">
        <f>HYPERLINK(Annahmen!$B$11&amp;"#artikel/sp-02-glass-mirror","Stück öffnen")</f>
        <v/>
      </c>
      <c r="T64">
        <f>HYPERLINK("https://crea-glass.ch/product/spiegel-mit-glasrahmen-sp-02/","Im Shop")</f>
        <v/>
      </c>
      <c r="U64" t="inlineStr">
        <is>
          <t>Shop-Preis gilt</t>
        </is>
      </c>
    </row>
    <row r="65">
      <c r="A65" t="inlineStr">
        <is>
          <t>SP 03</t>
        </is>
      </c>
      <c r="B65" t="inlineStr">
        <is>
          <t>Spiegel</t>
        </is>
      </c>
      <c r="C65" t="inlineStr">
        <is>
          <t>LED-Spiegel 95 × 92 cm mit grünem Glasrahmen und Tablar</t>
        </is>
      </c>
      <c r="D65" t="inlineStr">
        <is>
          <t>95 × 92 cm · Glasrahmen · Tablar · LED</t>
        </is>
      </c>
      <c r="E65" t="inlineStr">
        <is>
          <t>verfügbar</t>
        </is>
      </c>
      <c r="F65" t="inlineStr">
        <is>
          <t>Shop-Preis (öffentlich)</t>
        </is>
      </c>
      <c r="G65" s="4" t="n">
        <v>350</v>
      </c>
      <c r="H65" s="1" t="n"/>
      <c r="K65">
        <f>IF(OR(I65="",J65=""),"",ROUND(I65*J65/1000000,2))</f>
        <v/>
      </c>
      <c r="L65" s="1">
        <f>G65</f>
        <v/>
      </c>
      <c r="M65" s="2" t="n"/>
      <c r="N65" s="3">
        <f>IF(OR(G65="",M65=""),"",1-M65/G65)</f>
        <v/>
      </c>
      <c r="O65" t="n">
        <v>1.5</v>
      </c>
      <c r="P65" t="n">
        <v>2</v>
      </c>
      <c r="Q65" s="1">
        <f>O65*Annahmen!$B$9</f>
        <v/>
      </c>
      <c r="R65" s="1">
        <f>P65*Annahmen!$B$9</f>
        <v/>
      </c>
      <c r="S65">
        <f>HYPERLINK(Annahmen!$B$11&amp;"#artikel/sp-03-glass-mirror","Stück öffnen")</f>
        <v/>
      </c>
      <c r="T65">
        <f>HYPERLINK("https://crea-glass.ch/product/spiegel-sp-03/","Im Shop")</f>
        <v/>
      </c>
      <c r="U65" t="inlineStr">
        <is>
          <t>Shop-Preis gilt</t>
        </is>
      </c>
    </row>
    <row r="66">
      <c r="A66" t="inlineStr">
        <is>
          <t>SP 08</t>
        </is>
      </c>
      <c r="B66" t="inlineStr">
        <is>
          <t>Spiegel</t>
        </is>
      </c>
      <c r="C66" t="inlineStr">
        <is>
          <t>LED-Spiegel 86 × 82 cm mit Strukturglas-Rahmen</t>
        </is>
      </c>
      <c r="D66" t="inlineStr">
        <is>
          <t>86 × 82 cm · Glasrahmen · LED</t>
        </is>
      </c>
      <c r="E66" t="inlineStr">
        <is>
          <t>verfügbar</t>
        </is>
      </c>
      <c r="F66" t="inlineStr">
        <is>
          <t>Shop-Preis (öffentlich)</t>
        </is>
      </c>
      <c r="G66" s="4" t="n">
        <v>400</v>
      </c>
      <c r="H66" s="1" t="n"/>
      <c r="K66">
        <f>IF(OR(I66="",J66=""),"",ROUND(I66*J66/1000000,2))</f>
        <v/>
      </c>
      <c r="L66" s="1">
        <f>G66</f>
        <v/>
      </c>
      <c r="M66" s="2" t="n"/>
      <c r="N66" s="3">
        <f>IF(OR(G66="",M66=""),"",1-M66/G66)</f>
        <v/>
      </c>
      <c r="O66" t="n">
        <v>1.5</v>
      </c>
      <c r="P66" t="n">
        <v>2</v>
      </c>
      <c r="Q66" s="1">
        <f>O66*Annahmen!$B$9</f>
        <v/>
      </c>
      <c r="R66" s="1">
        <f>P66*Annahmen!$B$9</f>
        <v/>
      </c>
      <c r="S66">
        <f>HYPERLINK(Annahmen!$B$11&amp;"#artikel/sp-08-glass-mirror","Stück öffnen")</f>
        <v/>
      </c>
      <c r="T66">
        <f>HYPERLINK("https://crea-glass.ch/product/spiegel-sp-08/","Im Shop")</f>
        <v/>
      </c>
      <c r="U66" t="inlineStr">
        <is>
          <t>Shop-Preis gilt</t>
        </is>
      </c>
    </row>
    <row r="67">
      <c r="A67" t="inlineStr">
        <is>
          <t>SP 09</t>
        </is>
      </c>
      <c r="B67" t="inlineStr">
        <is>
          <t>Spiegel</t>
        </is>
      </c>
      <c r="C67" t="inlineStr">
        <is>
          <t>LED-Spiegel 126,5 × 80 cm mit Strukturglas-Rahmen</t>
        </is>
      </c>
      <c r="D67" t="inlineStr">
        <is>
          <t>126,5 × 80 cm · Glasrahmen · LED</t>
        </is>
      </c>
      <c r="E67" t="inlineStr">
        <is>
          <t>verfügbar</t>
        </is>
      </c>
      <c r="F67" t="inlineStr">
        <is>
          <t>Shop-Preis (öffentlich)</t>
        </is>
      </c>
      <c r="G67" s="4" t="n">
        <v>550</v>
      </c>
      <c r="H67" s="1" t="n"/>
      <c r="K67">
        <f>IF(OR(I67="",J67=""),"",ROUND(I67*J67/1000000,2))</f>
        <v/>
      </c>
      <c r="L67" s="1">
        <f>G67</f>
        <v/>
      </c>
      <c r="M67" s="2" t="n"/>
      <c r="N67" s="3">
        <f>IF(OR(G67="",M67=""),"",1-M67/G67)</f>
        <v/>
      </c>
      <c r="O67" t="n">
        <v>1.5</v>
      </c>
      <c r="P67" t="n">
        <v>2</v>
      </c>
      <c r="Q67" s="1">
        <f>O67*Annahmen!$B$9</f>
        <v/>
      </c>
      <c r="R67" s="1">
        <f>P67*Annahmen!$B$9</f>
        <v/>
      </c>
      <c r="S67">
        <f>HYPERLINK(Annahmen!$B$11&amp;"#artikel/sp-09-glass-mirror","Stück öffnen")</f>
        <v/>
      </c>
      <c r="T67">
        <f>HYPERLINK("https://crea-glass.ch/product/spiegel-sp-09/","Im Shop")</f>
        <v/>
      </c>
      <c r="U67" t="inlineStr">
        <is>
          <t>Shop-Preis gilt</t>
        </is>
      </c>
    </row>
    <row r="68">
      <c r="A68" t="inlineStr">
        <is>
          <t>SP 11</t>
        </is>
      </c>
      <c r="B68" t="inlineStr">
        <is>
          <t>Spiegel</t>
        </is>
      </c>
      <c r="C68" t="inlineStr">
        <is>
          <t>LED-Spiegel 156 × 109 cm mit orangem Glasrahmen</t>
        </is>
      </c>
      <c r="D68" t="inlineStr">
        <is>
          <t>156 × 109 cm · Glasrahmen · LED</t>
        </is>
      </c>
      <c r="E68" t="inlineStr">
        <is>
          <t>verfügbar</t>
        </is>
      </c>
      <c r="F68" t="inlineStr">
        <is>
          <t>Shop-Preis (öffentlich)</t>
        </is>
      </c>
      <c r="G68" s="4" t="n">
        <v>750</v>
      </c>
      <c r="H68" s="1" t="n"/>
      <c r="K68">
        <f>IF(OR(I68="",J68=""),"",ROUND(I68*J68/1000000,2))</f>
        <v/>
      </c>
      <c r="L68" s="1">
        <f>G68</f>
        <v/>
      </c>
      <c r="M68" s="2" t="n"/>
      <c r="N68" s="3">
        <f>IF(OR(G68="",M68=""),"",1-M68/G68)</f>
        <v/>
      </c>
      <c r="O68" t="n">
        <v>1.5</v>
      </c>
      <c r="P68" t="n">
        <v>2</v>
      </c>
      <c r="Q68" s="1">
        <f>O68*Annahmen!$B$9</f>
        <v/>
      </c>
      <c r="R68" s="1">
        <f>P68*Annahmen!$B$9</f>
        <v/>
      </c>
      <c r="S68">
        <f>HYPERLINK(Annahmen!$B$11&amp;"#artikel/sp-11-glass-mirror","Stück öffnen")</f>
        <v/>
      </c>
      <c r="T68">
        <f>HYPERLINK("https://crea-glass.ch/product/spiegel-mit-glasrahmen-led-sp-11/","Im Shop")</f>
        <v/>
      </c>
      <c r="U68" t="inlineStr">
        <is>
          <t>Shop-Preis gilt</t>
        </is>
      </c>
    </row>
    <row r="69">
      <c r="A69" t="inlineStr">
        <is>
          <t>SP 15</t>
        </is>
      </c>
      <c r="B69" t="inlineStr">
        <is>
          <t>Spiegel</t>
        </is>
      </c>
      <c r="C69" t="inlineStr">
        <is>
          <t>Runder LED-Spiegel Ø 70 cm mit Kosmetikspiegel</t>
        </is>
      </c>
      <c r="D69" t="inlineStr">
        <is>
          <t>Ø 70 cm · LED direkt und indirekt · Kosmetikspiegel</t>
        </is>
      </c>
      <c r="E69" t="inlineStr">
        <is>
          <t>verfügbar</t>
        </is>
      </c>
      <c r="F69" t="inlineStr">
        <is>
          <t>Shop-Preis (öffentlich)</t>
        </is>
      </c>
      <c r="G69" s="4" t="n">
        <v>150</v>
      </c>
      <c r="H69" s="1" t="n"/>
      <c r="K69">
        <f>IF(OR(I69="",J69=""),"",ROUND(I69*J69/1000000,2))</f>
        <v/>
      </c>
      <c r="L69" s="1">
        <f>G69</f>
        <v/>
      </c>
      <c r="M69" s="2" t="n"/>
      <c r="N69" s="3">
        <f>IF(OR(G69="",M69=""),"",1-M69/G69)</f>
        <v/>
      </c>
      <c r="O69" t="n">
        <v>1.5</v>
      </c>
      <c r="P69" t="n">
        <v>2</v>
      </c>
      <c r="Q69" s="1">
        <f>O69*Annahmen!$B$9</f>
        <v/>
      </c>
      <c r="R69" s="1">
        <f>P69*Annahmen!$B$9</f>
        <v/>
      </c>
      <c r="S69">
        <f>HYPERLINK(Annahmen!$B$11&amp;"#artikel/sp-15-glass-mirror","Stück öffnen")</f>
        <v/>
      </c>
      <c r="T69">
        <f>HYPERLINK("https://crea-glass.ch/product/spiegel-mit-direktem-indirektem-led-sp-15/","Im Shop")</f>
        <v/>
      </c>
      <c r="U69" t="inlineStr">
        <is>
          <t>Shop-Preis gilt</t>
        </is>
      </c>
    </row>
    <row r="70">
      <c r="A70" t="inlineStr">
        <is>
          <t>SP 16</t>
        </is>
      </c>
      <c r="B70" t="inlineStr">
        <is>
          <t>Spiegel</t>
        </is>
      </c>
      <c r="C70" t="inlineStr">
        <is>
          <t>Runder LED-Spiegel Ø 60 cm mit Kosmetikspiegel</t>
        </is>
      </c>
      <c r="D70" t="inlineStr">
        <is>
          <t>Ø 60 cm · LED direkt und indirekt · Kosmetikspiegel</t>
        </is>
      </c>
      <c r="E70" t="inlineStr">
        <is>
          <t>verfügbar</t>
        </is>
      </c>
      <c r="F70" t="inlineStr">
        <is>
          <t>Katalog 05/2025 (nicht im Shop)</t>
        </is>
      </c>
      <c r="G70" s="1" t="n">
        <v>150</v>
      </c>
      <c r="H70" s="1" t="n"/>
      <c r="K70">
        <f>IF(OR(I70="",J70=""),"",ROUND(I70*J70/1000000,2))</f>
        <v/>
      </c>
      <c r="L70" s="1">
        <f>IF(G70="","",ROUND(G70*(1-IF(G70&lt;=300,Annahmen!$B$2,IF(G70&lt;=1000,Annahmen!$B$3,IF(G70&lt;=3000,Annahmen!$B$4,Annahmen!$B$5))))/Annahmen!$B$6,0)*Annahmen!$B$6)</f>
        <v/>
      </c>
      <c r="M70" s="2" t="n"/>
      <c r="N70" s="3">
        <f>IF(OR(G70="",M70=""),"",1-M70/G70)</f>
        <v/>
      </c>
      <c r="O70" t="n">
        <v>1.5</v>
      </c>
      <c r="P70" t="n">
        <v>2</v>
      </c>
      <c r="Q70" s="1">
        <f>O70*Annahmen!$B$9</f>
        <v/>
      </c>
      <c r="R70" s="1">
        <f>P70*Annahmen!$B$9</f>
        <v/>
      </c>
      <c r="S70">
        <f>HYPERLINK(Annahmen!$B$11&amp;"#artikel/sp-16-glass-mirror","Stück öffnen")</f>
        <v/>
      </c>
      <c r="T70" t="inlineStr"/>
      <c r="U70" t="inlineStr">
        <is>
          <t>Nicht im Shop. Katalogpreis 05/2025, Vorschlag mit Rabattstufe</t>
        </is>
      </c>
    </row>
    <row r="71">
      <c r="A71" t="inlineStr">
        <is>
          <t>SP 17</t>
        </is>
      </c>
      <c r="B71" t="inlineStr">
        <is>
          <t>Spiegel</t>
        </is>
      </c>
      <c r="C71" t="inlineStr">
        <is>
          <t>Organischer LED-Spiegel mit Strukturglas-Rahmen</t>
        </is>
      </c>
      <c r="D71" t="inlineStr">
        <is>
          <t>Freie Form · Strukturglas-Rahmen · LED-Hinterleuchtung</t>
        </is>
      </c>
      <c r="E71" t="inlineStr">
        <is>
          <t>verfügbar</t>
        </is>
      </c>
      <c r="F71" t="inlineStr">
        <is>
          <t>Katalog 05/2025 (nicht im Shop)</t>
        </is>
      </c>
      <c r="G71" s="1" t="n">
        <v>500</v>
      </c>
      <c r="H71" s="1" t="n"/>
      <c r="K71">
        <f>IF(OR(I71="",J71=""),"",ROUND(I71*J71/1000000,2))</f>
        <v/>
      </c>
      <c r="L71" s="1">
        <f>IF(G71="","",ROUND(G71*(1-IF(G71&lt;=300,Annahmen!$B$2,IF(G71&lt;=1000,Annahmen!$B$3,IF(G71&lt;=3000,Annahmen!$B$4,Annahmen!$B$5))))/Annahmen!$B$6,0)*Annahmen!$B$6)</f>
        <v/>
      </c>
      <c r="M71" s="2" t="n"/>
      <c r="N71" s="3">
        <f>IF(OR(G71="",M71=""),"",1-M71/G71)</f>
        <v/>
      </c>
      <c r="O71" t="n">
        <v>1.5</v>
      </c>
      <c r="P71" t="n">
        <v>2</v>
      </c>
      <c r="Q71" s="1">
        <f>O71*Annahmen!$B$9</f>
        <v/>
      </c>
      <c r="R71" s="1">
        <f>P71*Annahmen!$B$9</f>
        <v/>
      </c>
      <c r="S71">
        <f>HYPERLINK(Annahmen!$B$11&amp;"#artikel/sp-17-glass-mirror","Stück öffnen")</f>
        <v/>
      </c>
      <c r="T71" t="inlineStr"/>
      <c r="U71" t="inlineStr">
        <is>
          <t>Nicht im Shop. Katalogpreis 05/2025, Vorschlag mit Rabattstufe</t>
        </is>
      </c>
    </row>
    <row r="72">
      <c r="A72" t="inlineStr">
        <is>
          <t>DU 01</t>
        </is>
      </c>
      <c r="B72" t="inlineStr">
        <is>
          <t>Duschen</t>
        </is>
      </c>
      <c r="C72" t="inlineStr">
        <is>
          <t>Glasdusche Schwarz/Anthrazit 120 × 106 × 197 cm</t>
        </is>
      </c>
      <c r="D72" t="inlineStr">
        <is>
          <t>120 × 106 × 197 cm (B × T × H) · Glasrückwand · Trennwände und Türe · Beschläge, Dichtungen, Stabilisationsstange · ohne Armaturen</t>
        </is>
      </c>
      <c r="E72" t="inlineStr">
        <is>
          <t>verfügbar</t>
        </is>
      </c>
      <c r="F72" t="inlineStr">
        <is>
          <t>Shop-Preis (öffentlich)</t>
        </is>
      </c>
      <c r="G72" s="4" t="n">
        <v>5000</v>
      </c>
      <c r="H72" s="1" t="n"/>
      <c r="K72">
        <f>IF(OR(I72="",J72=""),"",ROUND(I72*J72/1000000,2))</f>
        <v/>
      </c>
      <c r="L72" s="1">
        <f>G72</f>
        <v/>
      </c>
      <c r="M72" s="2" t="n"/>
      <c r="N72" s="3">
        <f>IF(OR(G72="",M72=""),"",1-M72/G72)</f>
        <v/>
      </c>
      <c r="O72" t="n">
        <v>5</v>
      </c>
      <c r="P72" t="n">
        <v>8</v>
      </c>
      <c r="Q72" s="1">
        <f>O72*Annahmen!$B$9</f>
        <v/>
      </c>
      <c r="R72" s="1">
        <f>P72*Annahmen!$B$9</f>
        <v/>
      </c>
      <c r="S72">
        <f>HYPERLINK(Annahmen!$B$11&amp;"#artikel/du-01-black-anthracite-shower","Stück öffnen")</f>
        <v/>
      </c>
      <c r="T72">
        <f>HYPERLINK("https://crea-glass.ch/product/glasdusche-komplett-schwarz-anthrazit-du-01/","Im Shop")</f>
        <v/>
      </c>
      <c r="U72" t="inlineStr">
        <is>
          <t>Shop-Preis gilt</t>
        </is>
      </c>
    </row>
    <row r="73">
      <c r="A73" t="inlineStr">
        <is>
          <t>DU 03</t>
        </is>
      </c>
      <c r="B73" t="inlineStr">
        <is>
          <t>Duschen</t>
        </is>
      </c>
      <c r="C73" t="inlineStr">
        <is>
          <t>Gebogene Glasdusche Blau mit Leuchtturm-Motiv</t>
        </is>
      </c>
      <c r="D73" t="inlineStr">
        <is>
          <t>125 × 100 × 194 cm · gebogene Glastrennwand · Glasrückwände · ohne Armaturen</t>
        </is>
      </c>
      <c r="E73" t="inlineStr">
        <is>
          <t>verfügbar</t>
        </is>
      </c>
      <c r="F73" t="inlineStr">
        <is>
          <t>Shop-Preis (öffentlich)</t>
        </is>
      </c>
      <c r="G73" s="4" t="n">
        <v>3000</v>
      </c>
      <c r="H73" s="1" t="n"/>
      <c r="K73">
        <f>IF(OR(I73="",J73=""),"",ROUND(I73*J73/1000000,2))</f>
        <v/>
      </c>
      <c r="L73" s="1">
        <f>G73</f>
        <v/>
      </c>
      <c r="M73" s="2" t="n"/>
      <c r="N73" s="3">
        <f>IF(OR(G73="",M73=""),"",1-M73/G73)</f>
        <v/>
      </c>
      <c r="O73" t="n">
        <v>5</v>
      </c>
      <c r="P73" t="n">
        <v>8</v>
      </c>
      <c r="Q73" s="1">
        <f>O73*Annahmen!$B$9</f>
        <v/>
      </c>
      <c r="R73" s="1">
        <f>P73*Annahmen!$B$9</f>
        <v/>
      </c>
      <c r="S73">
        <f>HYPERLINK(Annahmen!$B$11&amp;"#artikel/du-03-blue-lighthouse-shower","Stück öffnen")</f>
        <v/>
      </c>
      <c r="T73">
        <f>HYPERLINK("https://crea-glass.ch/product/dusche-ohne-armaturen-du-03/","Im Shop")</f>
        <v/>
      </c>
      <c r="U73" t="inlineStr">
        <is>
          <t>Shop-Preis gilt</t>
        </is>
      </c>
    </row>
    <row r="74">
      <c r="A74" t="inlineStr">
        <is>
          <t>DU 08</t>
        </is>
      </c>
      <c r="B74" t="inlineStr">
        <is>
          <t>Duschen</t>
        </is>
      </c>
      <c r="C74" t="inlineStr">
        <is>
          <t>Glasdusche Grün mit Gräsermotiv 149 × 100 × 208 cm</t>
        </is>
      </c>
      <c r="D74" t="inlineStr">
        <is>
          <t>149 × 100 × 208 cm · Glastrennwand · Glasrückwände · ohne Armaturen</t>
        </is>
      </c>
      <c r="E74" t="inlineStr">
        <is>
          <t>verfügbar</t>
        </is>
      </c>
      <c r="F74" t="inlineStr">
        <is>
          <t>Shop-Preis (öffentlich)</t>
        </is>
      </c>
      <c r="G74" s="4" t="n">
        <v>3000</v>
      </c>
      <c r="H74" s="1" t="n"/>
      <c r="K74">
        <f>IF(OR(I74="",J74=""),"",ROUND(I74*J74/1000000,2))</f>
        <v/>
      </c>
      <c r="L74" s="1">
        <f>G74</f>
        <v/>
      </c>
      <c r="M74" s="2" t="n"/>
      <c r="N74" s="3">
        <f>IF(OR(G74="",M74=""),"",1-M74/G74)</f>
        <v/>
      </c>
      <c r="O74" t="n">
        <v>5</v>
      </c>
      <c r="P74" t="n">
        <v>8</v>
      </c>
      <c r="Q74" s="1">
        <f>O74*Annahmen!$B$9</f>
        <v/>
      </c>
      <c r="R74" s="1">
        <f>P74*Annahmen!$B$9</f>
        <v/>
      </c>
      <c r="S74">
        <f>HYPERLINK(Annahmen!$B$11&amp;"#artikel/du-08-green-glass-shower","Stück öffnen")</f>
        <v/>
      </c>
      <c r="T74">
        <f>HYPERLINK("https://crea-glass.ch/product/dusche-ohne-armatur-du-08/","Im Shop")</f>
        <v/>
      </c>
      <c r="U74" t="inlineStr">
        <is>
          <t>Shop-Preis gilt</t>
        </is>
      </c>
    </row>
    <row r="75">
      <c r="A75" t="inlineStr">
        <is>
          <t>DU 09</t>
        </is>
      </c>
      <c r="B75" t="inlineStr">
        <is>
          <t>Duschen</t>
        </is>
      </c>
      <c r="C75" t="inlineStr">
        <is>
          <t>Glasdusche Orange mit Schiebetüren</t>
        </is>
      </c>
      <c r="D75" t="inlineStr">
        <is>
          <t>Schiebetüren und Rückwände · Masse auf Anfrage · ohne Armaturen · Komplettpreis</t>
        </is>
      </c>
      <c r="E75" t="inlineStr">
        <is>
          <t>verfügbar</t>
        </is>
      </c>
      <c r="F75" t="inlineStr">
        <is>
          <t>Shop-Preis (öffentlich)</t>
        </is>
      </c>
      <c r="G75" s="4" t="n">
        <v>5000</v>
      </c>
      <c r="H75" s="1" t="n"/>
      <c r="K75">
        <f>IF(OR(I75="",J75=""),"",ROUND(I75*J75/1000000,2))</f>
        <v/>
      </c>
      <c r="L75" s="1">
        <f>G75</f>
        <v/>
      </c>
      <c r="M75" s="2" t="n"/>
      <c r="N75" s="3">
        <f>IF(OR(G75="",M75=""),"",1-M75/G75)</f>
        <v/>
      </c>
      <c r="O75" t="n">
        <v>5</v>
      </c>
      <c r="P75" t="n">
        <v>8</v>
      </c>
      <c r="Q75" s="1">
        <f>O75*Annahmen!$B$9</f>
        <v/>
      </c>
      <c r="R75" s="1">
        <f>P75*Annahmen!$B$9</f>
        <v/>
      </c>
      <c r="S75">
        <f>HYPERLINK(Annahmen!$B$11&amp;"#artikel/du-09-orange-sliding-shower","Stück öffnen")</f>
        <v/>
      </c>
      <c r="T75">
        <f>HYPERLINK("https://crea-glass.ch/product/dusche-orange-komplett-du-09/","Im Shop")</f>
        <v/>
      </c>
      <c r="U75" t="inlineStr">
        <is>
          <t>Shop-Preis gilt</t>
        </is>
      </c>
    </row>
    <row r="76">
      <c r="A76" t="inlineStr">
        <is>
          <t>TI 07</t>
        </is>
      </c>
      <c r="B76" t="inlineStr">
        <is>
          <t>Tische &amp; Möbel</t>
        </is>
      </c>
      <c r="C76" t="inlineStr">
        <is>
          <t>Runder Glastisch Ø 110 cm mit Edelstahlgestell und 3 Stühlen</t>
        </is>
      </c>
      <c r="D76" t="inlineStr">
        <is>
          <t>Glasplatte Ø 110 cm · Edelstahlgestell · 3 Stühle Kunststoff</t>
        </is>
      </c>
      <c r="E76" t="inlineStr">
        <is>
          <t>verfügbar</t>
        </is>
      </c>
      <c r="F76" t="inlineStr">
        <is>
          <t>Shop-Preis (öffentlich)</t>
        </is>
      </c>
      <c r="G76" s="4" t="n">
        <v>2300</v>
      </c>
      <c r="H76" s="1" t="n"/>
      <c r="K76">
        <f>IF(OR(I76="",J76=""),"",ROUND(I76*J76/1000000,2))</f>
        <v/>
      </c>
      <c r="L76" s="1">
        <f>G76</f>
        <v/>
      </c>
      <c r="M76" s="2" t="n"/>
      <c r="N76" s="3">
        <f>IF(OR(G76="",M76=""),"",1-M76/G76)</f>
        <v/>
      </c>
      <c r="O76" t="n">
        <v>1</v>
      </c>
      <c r="P76" t="n">
        <v>2</v>
      </c>
      <c r="Q76" s="1">
        <f>O76*Annahmen!$B$9</f>
        <v/>
      </c>
      <c r="R76" s="1">
        <f>P76*Annahmen!$B$9</f>
        <v/>
      </c>
      <c r="S76">
        <f>HYPERLINK(Annahmen!$B$11&amp;"#artikel/ti-07-round-glass-table-and-chairs","Stück öffnen")</f>
        <v/>
      </c>
      <c r="T76">
        <f>HYPERLINK("https://crea-glass.ch/product/tisch-mit-schiffrelief-edelstahl-gestell-und-stuehle-kunststoff-ti-07/","Im Shop")</f>
        <v/>
      </c>
      <c r="U76" t="inlineStr">
        <is>
          <t>Shop-Preis gilt</t>
        </is>
      </c>
    </row>
    <row r="77">
      <c r="A77" s="5" t="inlineStr">
        <is>
          <t>TI 05</t>
        </is>
      </c>
      <c r="B77" s="5" t="inlineStr">
        <is>
          <t>Tische &amp; Möbel</t>
        </is>
      </c>
      <c r="C77" s="5" t="inlineStr">
        <is>
          <t>Glastisch 273 × 101 cm mit Edelstahl-Untergestell</t>
        </is>
      </c>
      <c r="D77" s="5" t="inlineStr">
        <is>
          <t>273 × 101 × 73 cm · Edelstahl-Untergestell</t>
        </is>
      </c>
      <c r="E77" s="5" t="inlineStr">
        <is>
          <t>verkauft</t>
        </is>
      </c>
      <c r="F77" s="5" t="inlineStr">
        <is>
          <t>Katalog 05/2025 (nicht im Shop)</t>
        </is>
      </c>
      <c r="G77" s="6" t="n">
        <v>1900</v>
      </c>
      <c r="H77" s="6" t="n"/>
      <c r="I77" s="5" t="n"/>
      <c r="J77" s="5" t="n"/>
      <c r="K77" s="5">
        <f>IF(OR(I77="",J77=""),"",ROUND(I77*J77/1000000,2))</f>
        <v/>
      </c>
      <c r="L77" s="6" t="n"/>
      <c r="M77" s="6" t="n"/>
      <c r="N77" s="7">
        <f>IF(OR(G77="",M77=""),"",1-M77/G77)</f>
        <v/>
      </c>
      <c r="O77" s="5" t="n">
        <v>1</v>
      </c>
      <c r="P77" s="5" t="n">
        <v>2</v>
      </c>
      <c r="Q77" s="6">
        <f>O77*Annahmen!$B$9</f>
        <v/>
      </c>
      <c r="R77" s="6">
        <f>P77*Annahmen!$B$9</f>
        <v/>
      </c>
      <c r="S77" s="5">
        <f>HYPERLINK(Annahmen!$B$11&amp;"#artikel/ti-05-glass-table","Stück öffnen")</f>
        <v/>
      </c>
      <c r="T77" s="5" t="inlineStr"/>
      <c r="U77" s="5" t="inlineStr">
        <is>
          <t>Verkauft – nur Dokumentation</t>
        </is>
      </c>
    </row>
    <row r="78">
      <c r="A78" t="inlineStr">
        <is>
          <t>TI 06</t>
        </is>
      </c>
      <c r="B78" t="inlineStr">
        <is>
          <t>Tische &amp; Möbel</t>
        </is>
      </c>
      <c r="C78" t="inlineStr">
        <is>
          <t>Bambustisch 179 × 89 cm mit Glaseinlage</t>
        </is>
      </c>
      <c r="D78" t="inlineStr">
        <is>
          <t>179 × 89 cm · Bambus · Glasplatte</t>
        </is>
      </c>
      <c r="E78" t="inlineStr">
        <is>
          <t>verfügbar</t>
        </is>
      </c>
      <c r="F78" t="inlineStr">
        <is>
          <t>Shop-Preis (öffentlich)</t>
        </is>
      </c>
      <c r="G78" s="4" t="n">
        <v>1500</v>
      </c>
      <c r="H78" s="1" t="n"/>
      <c r="K78">
        <f>IF(OR(I78="",J78=""),"",ROUND(I78*J78/1000000,2))</f>
        <v/>
      </c>
      <c r="L78" s="1">
        <f>G78</f>
        <v/>
      </c>
      <c r="M78" s="2" t="n"/>
      <c r="N78" s="3">
        <f>IF(OR(G78="",M78=""),"",1-M78/G78)</f>
        <v/>
      </c>
      <c r="O78" t="n">
        <v>1</v>
      </c>
      <c r="P78" t="n">
        <v>2</v>
      </c>
      <c r="Q78" s="1">
        <f>O78*Annahmen!$B$9</f>
        <v/>
      </c>
      <c r="R78" s="1">
        <f>P78*Annahmen!$B$9</f>
        <v/>
      </c>
      <c r="S78">
        <f>HYPERLINK(Annahmen!$B$11&amp;"#artikel/ti-06-bamboo-glass-table","Stück öffnen")</f>
        <v/>
      </c>
      <c r="T78">
        <f>HYPERLINK("https://crea-glass.ch/product/tisch-bambus-mit-glasplatte-ti-06/","Im Shop")</f>
        <v/>
      </c>
      <c r="U78" t="inlineStr">
        <is>
          <t>Shop-Preis gilt</t>
        </is>
      </c>
    </row>
    <row r="79">
      <c r="A79" t="inlineStr">
        <is>
          <t>TI 01</t>
        </is>
      </c>
      <c r="B79" t="inlineStr">
        <is>
          <t>Tische &amp; Möbel</t>
        </is>
      </c>
      <c r="C79" t="inlineStr">
        <is>
          <t>Esstisch 200 × 95 cm, Strukturglas auf Edelstahl</t>
        </is>
      </c>
      <c r="D79" t="inlineStr">
        <is>
          <t>200 × 95 cm · Untergestell Edelstahl</t>
        </is>
      </c>
      <c r="E79" t="inlineStr">
        <is>
          <t>verfügbar</t>
        </is>
      </c>
      <c r="F79" t="inlineStr">
        <is>
          <t>Katalog 05/2025 (nicht im Shop)</t>
        </is>
      </c>
      <c r="G79" s="1" t="n">
        <v>1710</v>
      </c>
      <c r="H79" s="1" t="n"/>
      <c r="K79">
        <f>IF(OR(I79="",J79=""),"",ROUND(I79*J79/1000000,2))</f>
        <v/>
      </c>
      <c r="L79" s="1">
        <f>IF(G79="","",ROUND(G79*(1-IF(G79&lt;=300,Annahmen!$B$2,IF(G79&lt;=1000,Annahmen!$B$3,IF(G79&lt;=3000,Annahmen!$B$4,Annahmen!$B$5))))/Annahmen!$B$6,0)*Annahmen!$B$6)</f>
        <v/>
      </c>
      <c r="M79" s="2" t="n"/>
      <c r="N79" s="3">
        <f>IF(OR(G79="",M79=""),"",1-M79/G79)</f>
        <v/>
      </c>
      <c r="O79" t="n">
        <v>1</v>
      </c>
      <c r="P79" t="n">
        <v>2</v>
      </c>
      <c r="Q79" s="1">
        <f>O79*Annahmen!$B$9</f>
        <v/>
      </c>
      <c r="R79" s="1">
        <f>P79*Annahmen!$B$9</f>
        <v/>
      </c>
      <c r="S79">
        <f>HYPERLINK(Annahmen!$B$11&amp;"#artikel/ti-01-glass-table","Stück öffnen")</f>
        <v/>
      </c>
      <c r="T79" t="inlineStr"/>
      <c r="U79" t="inlineStr">
        <is>
          <t>Nicht im Shop. Katalogpreis 05/2025, Vorschlag mit Rabattstufe</t>
        </is>
      </c>
    </row>
    <row r="80">
      <c r="A80" t="inlineStr">
        <is>
          <t>TI 02</t>
        </is>
      </c>
      <c r="B80" t="inlineStr">
        <is>
          <t>Tische &amp; Möbel</t>
        </is>
      </c>
      <c r="C80" t="inlineStr">
        <is>
          <t>Esstisch 195 × 95 cm, Strukturglas auf Edelstahl</t>
        </is>
      </c>
      <c r="D80" t="inlineStr">
        <is>
          <t>195 × 95 cm · Untergestell Edelstahl</t>
        </is>
      </c>
      <c r="E80" t="inlineStr">
        <is>
          <t>verfügbar</t>
        </is>
      </c>
      <c r="F80" t="inlineStr">
        <is>
          <t>Katalog 05/2025 (nicht im Shop)</t>
        </is>
      </c>
      <c r="G80" s="1" t="n">
        <v>1710</v>
      </c>
      <c r="H80" s="1" t="n"/>
      <c r="K80">
        <f>IF(OR(I80="",J80=""),"",ROUND(I80*J80/1000000,2))</f>
        <v/>
      </c>
      <c r="L80" s="1">
        <f>IF(G80="","",ROUND(G80*(1-IF(G80&lt;=300,Annahmen!$B$2,IF(G80&lt;=1000,Annahmen!$B$3,IF(G80&lt;=3000,Annahmen!$B$4,Annahmen!$B$5))))/Annahmen!$B$6,0)*Annahmen!$B$6)</f>
        <v/>
      </c>
      <c r="M80" s="2" t="n"/>
      <c r="N80" s="3">
        <f>IF(OR(G80="",M80=""),"",1-M80/G80)</f>
        <v/>
      </c>
      <c r="O80" t="n">
        <v>1</v>
      </c>
      <c r="P80" t="n">
        <v>2</v>
      </c>
      <c r="Q80" s="1">
        <f>O80*Annahmen!$B$9</f>
        <v/>
      </c>
      <c r="R80" s="1">
        <f>P80*Annahmen!$B$9</f>
        <v/>
      </c>
      <c r="S80">
        <f>HYPERLINK(Annahmen!$B$11&amp;"#artikel/ti-02-glass-table","Stück öffnen")</f>
        <v/>
      </c>
      <c r="T80" t="inlineStr"/>
      <c r="U80" t="inlineStr">
        <is>
          <t>Nicht im Shop. Katalogpreis 05/2025, Vorschlag mit Rabattstufe</t>
        </is>
      </c>
    </row>
    <row r="81">
      <c r="A81" t="inlineStr">
        <is>
          <t>TW 05</t>
        </is>
      </c>
      <c r="B81" t="inlineStr">
        <is>
          <t>Glastrennwände</t>
        </is>
      </c>
      <c r="C81" t="inlineStr">
        <is>
          <t>Glastrennwand 60,5 × 195,8 cm mit Delfinen</t>
        </is>
      </c>
      <c r="D81" t="inlineStr">
        <is>
          <t>60,5 × 195,8 cm · Delfinmotiv</t>
        </is>
      </c>
      <c r="E81" t="inlineStr">
        <is>
          <t>verfügbar</t>
        </is>
      </c>
      <c r="F81" t="inlineStr">
        <is>
          <t>Shop-Preis (öffentlich)</t>
        </is>
      </c>
      <c r="G81" s="4" t="n">
        <v>500</v>
      </c>
      <c r="H81" s="1" t="n"/>
      <c r="K81">
        <f>IF(OR(I81="",J81=""),"",ROUND(I81*J81/1000000,2))</f>
        <v/>
      </c>
      <c r="L81" s="1">
        <f>G81</f>
        <v/>
      </c>
      <c r="M81" s="2" t="n"/>
      <c r="N81" s="3">
        <f>IF(OR(G81="",M81=""),"",1-M81/G81)</f>
        <v/>
      </c>
      <c r="O81" t="n">
        <v>2</v>
      </c>
      <c r="P81" t="n">
        <v>4</v>
      </c>
      <c r="Q81" s="1">
        <f>O81*Annahmen!$B$9</f>
        <v/>
      </c>
      <c r="R81" s="1">
        <f>P81*Annahmen!$B$9</f>
        <v/>
      </c>
      <c r="S81">
        <f>HYPERLINK(Annahmen!$B$11&amp;"#artikel/tw-05-dolphin-glass-partition","Stück öffnen")</f>
        <v/>
      </c>
      <c r="T81">
        <f>HYPERLINK("https://crea-glass.ch/product/glastrennwand-tw-05/","Im Shop")</f>
        <v/>
      </c>
      <c r="U81" t="inlineStr">
        <is>
          <t>Shop-Preis gilt</t>
        </is>
      </c>
    </row>
    <row r="82">
      <c r="A82" t="inlineStr">
        <is>
          <t>TW 01</t>
        </is>
      </c>
      <c r="B82" t="inlineStr">
        <is>
          <t>Glastrennwände</t>
        </is>
      </c>
      <c r="C82" t="inlineStr">
        <is>
          <t>Gebogene Glastrennwand 134 × 195 cm mit Orcas</t>
        </is>
      </c>
      <c r="D82" t="inlineStr">
        <is>
          <t>134 × 195 cm · gebogen · Orcamotiv</t>
        </is>
      </c>
      <c r="E82" t="inlineStr">
        <is>
          <t>verfügbar</t>
        </is>
      </c>
      <c r="F82" t="inlineStr">
        <is>
          <t>Shop-Preis (öffentlich)</t>
        </is>
      </c>
      <c r="G82" s="4" t="n">
        <v>1900</v>
      </c>
      <c r="H82" s="1" t="n"/>
      <c r="K82">
        <f>IF(OR(I82="",J82=""),"",ROUND(I82*J82/1000000,2))</f>
        <v/>
      </c>
      <c r="L82" s="1">
        <f>G82</f>
        <v/>
      </c>
      <c r="M82" s="2" t="n"/>
      <c r="N82" s="3">
        <f>IF(OR(G82="",M82=""),"",1-M82/G82)</f>
        <v/>
      </c>
      <c r="O82" t="n">
        <v>2</v>
      </c>
      <c r="P82" t="n">
        <v>4</v>
      </c>
      <c r="Q82" s="1">
        <f>O82*Annahmen!$B$9</f>
        <v/>
      </c>
      <c r="R82" s="1">
        <f>P82*Annahmen!$B$9</f>
        <v/>
      </c>
      <c r="S82">
        <f>HYPERLINK(Annahmen!$B$11&amp;"#artikel/tw-01-curved-orca-glass-partition","Stück öffnen")</f>
        <v/>
      </c>
      <c r="T82">
        <f>HYPERLINK("https://crea-glass.ch/product/glas-trennwand-gebogen-mit-orcas-tw01/","Im Shop")</f>
        <v/>
      </c>
      <c r="U82" t="inlineStr">
        <is>
          <t>Shop-Preis gilt</t>
        </is>
      </c>
    </row>
    <row r="83">
      <c r="A83" t="inlineStr">
        <is>
          <t>TW 06</t>
        </is>
      </c>
      <c r="B83" t="inlineStr">
        <is>
          <t>Glastrennwände</t>
        </is>
      </c>
      <c r="C83" t="inlineStr">
        <is>
          <t>Glastrennwand 60,5 × 195,8 cm, Strukturglas</t>
        </is>
      </c>
      <c r="D83" t="inlineStr">
        <is>
          <t>60,55 × 195,8 cm · Strukturglas</t>
        </is>
      </c>
      <c r="E83" t="inlineStr">
        <is>
          <t>verfügbar</t>
        </is>
      </c>
      <c r="F83" t="inlineStr">
        <is>
          <t>Shop-Preis (öffentlich)</t>
        </is>
      </c>
      <c r="G83" s="4" t="n">
        <v>500</v>
      </c>
      <c r="H83" s="1" t="n"/>
      <c r="K83">
        <f>IF(OR(I83="",J83=""),"",ROUND(I83*J83/1000000,2))</f>
        <v/>
      </c>
      <c r="L83" s="1">
        <f>G83</f>
        <v/>
      </c>
      <c r="M83" s="2" t="n"/>
      <c r="N83" s="3">
        <f>IF(OR(G83="",M83=""),"",1-M83/G83)</f>
        <v/>
      </c>
      <c r="O83" t="n">
        <v>2</v>
      </c>
      <c r="P83" t="n">
        <v>4</v>
      </c>
      <c r="Q83" s="1">
        <f>O83*Annahmen!$B$9</f>
        <v/>
      </c>
      <c r="R83" s="1">
        <f>P83*Annahmen!$B$9</f>
        <v/>
      </c>
      <c r="S83">
        <f>HYPERLINK(Annahmen!$B$11&amp;"#artikel/tw-06-glass-partition","Stück öffnen")</f>
        <v/>
      </c>
      <c r="T83">
        <f>HYPERLINK("https://crea-glass.ch/product/glastrennwand-tw-06/","Im Shop")</f>
        <v/>
      </c>
      <c r="U83" t="inlineStr">
        <is>
          <t>Shop-Preis gilt</t>
        </is>
      </c>
    </row>
    <row r="84">
      <c r="A84" t="inlineStr">
        <is>
          <t>TW 09</t>
        </is>
      </c>
      <c r="B84" t="inlineStr">
        <is>
          <t>Glastrennwände</t>
        </is>
      </c>
      <c r="C84" t="inlineStr">
        <is>
          <t>Glastrennwand 90 × 207 cm mit Rundbogen</t>
        </is>
      </c>
      <c r="D84" t="inlineStr">
        <is>
          <t>90 × 207 cm · Rundbogen · Strukturglas</t>
        </is>
      </c>
      <c r="E84" t="inlineStr">
        <is>
          <t>verfügbar</t>
        </is>
      </c>
      <c r="F84" t="inlineStr">
        <is>
          <t>Shop-Preis (öffentlich)</t>
        </is>
      </c>
      <c r="G84" s="4" t="n">
        <v>250</v>
      </c>
      <c r="H84" s="1" t="n"/>
      <c r="K84">
        <f>IF(OR(I84="",J84=""),"",ROUND(I84*J84/1000000,2))</f>
        <v/>
      </c>
      <c r="L84" s="1">
        <f>G84</f>
        <v/>
      </c>
      <c r="M84" s="2" t="n"/>
      <c r="N84" s="3">
        <f>IF(OR(G84="",M84=""),"",1-M84/G84)</f>
        <v/>
      </c>
      <c r="O84" t="n">
        <v>2</v>
      </c>
      <c r="P84" t="n">
        <v>4</v>
      </c>
      <c r="Q84" s="1">
        <f>O84*Annahmen!$B$9</f>
        <v/>
      </c>
      <c r="R84" s="1">
        <f>P84*Annahmen!$B$9</f>
        <v/>
      </c>
      <c r="S84">
        <f>HYPERLINK(Annahmen!$B$11&amp;"#artikel/tw-09-glass-partition","Stück öffnen")</f>
        <v/>
      </c>
      <c r="T84">
        <f>HYPERLINK("https://crea-glass.ch/product/glastrennwand-tw-09/","Im Shop")</f>
        <v/>
      </c>
      <c r="U84" t="inlineStr">
        <is>
          <t>Shop-Preis gilt</t>
        </is>
      </c>
    </row>
    <row r="85">
      <c r="A85" t="inlineStr">
        <is>
          <t>TW 11</t>
        </is>
      </c>
      <c r="B85" t="inlineStr">
        <is>
          <t>Glastrennwände</t>
        </is>
      </c>
      <c r="C85" t="inlineStr">
        <is>
          <t>Glastrennwand 101 × 195,5 cm, Strukturglas</t>
        </is>
      </c>
      <c r="D85" t="inlineStr">
        <is>
          <t>101 × 195,5 cm · Strukturglas</t>
        </is>
      </c>
      <c r="E85" t="inlineStr">
        <is>
          <t>verfügbar</t>
        </is>
      </c>
      <c r="F85" t="inlineStr">
        <is>
          <t>Shop-Preis (öffentlich)</t>
        </is>
      </c>
      <c r="G85" s="4" t="n">
        <v>500</v>
      </c>
      <c r="H85" s="1" t="n"/>
      <c r="K85">
        <f>IF(OR(I85="",J85=""),"",ROUND(I85*J85/1000000,2))</f>
        <v/>
      </c>
      <c r="L85" s="1">
        <f>G85</f>
        <v/>
      </c>
      <c r="M85" s="2" t="n"/>
      <c r="N85" s="3">
        <f>IF(OR(G85="",M85=""),"",1-M85/G85)</f>
        <v/>
      </c>
      <c r="O85" t="n">
        <v>2</v>
      </c>
      <c r="P85" t="n">
        <v>4</v>
      </c>
      <c r="Q85" s="1">
        <f>O85*Annahmen!$B$9</f>
        <v/>
      </c>
      <c r="R85" s="1">
        <f>P85*Annahmen!$B$9</f>
        <v/>
      </c>
      <c r="S85">
        <f>HYPERLINK(Annahmen!$B$11&amp;"#artikel/tw-11-glass-partition","Stück öffnen")</f>
        <v/>
      </c>
      <c r="T85">
        <f>HYPERLINK("https://crea-glass.ch/product/glastrennwand-tw-11/","Im Shop")</f>
        <v/>
      </c>
      <c r="U85" t="inlineStr">
        <is>
          <t>Shop-Preis gilt</t>
        </is>
      </c>
    </row>
    <row r="86">
      <c r="A86" t="inlineStr">
        <is>
          <t>TW 08</t>
        </is>
      </c>
      <c r="B86" t="inlineStr">
        <is>
          <t>Glastrennwände</t>
        </is>
      </c>
      <c r="C86" t="inlineStr">
        <is>
          <t>Schmale Glastrennwand 41 × 195 cm</t>
        </is>
      </c>
      <c r="D86" t="inlineStr">
        <is>
          <t>41 × 195 cm · Strukturglas</t>
        </is>
      </c>
      <c r="E86" t="inlineStr">
        <is>
          <t>verfügbar</t>
        </is>
      </c>
      <c r="F86" t="inlineStr">
        <is>
          <t>Shop-Preis (öffentlich)</t>
        </is>
      </c>
      <c r="G86" s="4" t="n">
        <v>150</v>
      </c>
      <c r="H86" s="1" t="n"/>
      <c r="K86">
        <f>IF(OR(I86="",J86=""),"",ROUND(I86*J86/1000000,2))</f>
        <v/>
      </c>
      <c r="L86" s="1">
        <f>G86</f>
        <v/>
      </c>
      <c r="M86" s="2" t="n"/>
      <c r="N86" s="3">
        <f>IF(OR(G86="",M86=""),"",1-M86/G86)</f>
        <v/>
      </c>
      <c r="O86" t="n">
        <v>2</v>
      </c>
      <c r="P86" t="n">
        <v>4</v>
      </c>
      <c r="Q86" s="1">
        <f>O86*Annahmen!$B$9</f>
        <v/>
      </c>
      <c r="R86" s="1">
        <f>P86*Annahmen!$B$9</f>
        <v/>
      </c>
      <c r="S86">
        <f>HYPERLINK(Annahmen!$B$11&amp;"#artikel/tw-08-glass-partition","Stück öffnen")</f>
        <v/>
      </c>
      <c r="T86">
        <f>HYPERLINK("https://crea-glass.ch/product/glastrennwand-tw-08/","Im Shop")</f>
        <v/>
      </c>
      <c r="U86" t="inlineStr">
        <is>
          <t>Shop-Preis gilt</t>
        </is>
      </c>
    </row>
    <row r="87">
      <c r="A87" t="inlineStr">
        <is>
          <t>TW 12</t>
        </is>
      </c>
      <c r="B87" t="inlineStr">
        <is>
          <t>Glastrennwände</t>
        </is>
      </c>
      <c r="C87" t="inlineStr">
        <is>
          <t>Glastrennwand 92,5 × 201 cm mit gelben Einschlüssen</t>
        </is>
      </c>
      <c r="D87" t="inlineStr">
        <is>
          <t>92,5 × 201 cm · geschwungen · gelbe Einschlüsse</t>
        </is>
      </c>
      <c r="E87" t="inlineStr">
        <is>
          <t>verfügbar</t>
        </is>
      </c>
      <c r="F87" t="inlineStr">
        <is>
          <t>Katalog 05/2025 (nicht im Shop)</t>
        </is>
      </c>
      <c r="G87" s="1" t="n">
        <v>300</v>
      </c>
      <c r="H87" s="1" t="n"/>
      <c r="K87">
        <f>IF(OR(I87="",J87=""),"",ROUND(I87*J87/1000000,2))</f>
        <v/>
      </c>
      <c r="L87" s="1">
        <f>IF(G87="","",ROUND(G87*(1-IF(G87&lt;=300,Annahmen!$B$2,IF(G87&lt;=1000,Annahmen!$B$3,IF(G87&lt;=3000,Annahmen!$B$4,Annahmen!$B$5))))/Annahmen!$B$6,0)*Annahmen!$B$6)</f>
        <v/>
      </c>
      <c r="M87" s="2" t="n"/>
      <c r="N87" s="3">
        <f>IF(OR(G87="",M87=""),"",1-M87/G87)</f>
        <v/>
      </c>
      <c r="O87" t="n">
        <v>2</v>
      </c>
      <c r="P87" t="n">
        <v>4</v>
      </c>
      <c r="Q87" s="1">
        <f>O87*Annahmen!$B$9</f>
        <v/>
      </c>
      <c r="R87" s="1">
        <f>P87*Annahmen!$B$9</f>
        <v/>
      </c>
      <c r="S87">
        <f>HYPERLINK(Annahmen!$B$11&amp;"#artikel/tw-12-glass-partition","Stück öffnen")</f>
        <v/>
      </c>
      <c r="T87" t="inlineStr"/>
      <c r="U87" t="inlineStr">
        <is>
          <t>Nicht im Shop. Katalogpreis 05/2025, Vorschlag mit Rabattstufe</t>
        </is>
      </c>
    </row>
    <row r="88">
      <c r="A88" t="inlineStr">
        <is>
          <t>TW 13</t>
        </is>
      </c>
      <c r="B88" t="inlineStr">
        <is>
          <t>Glastrennwände</t>
        </is>
      </c>
      <c r="C88" t="inlineStr">
        <is>
          <t>Glastrennwand 143 × 180 cm, Strukturglas</t>
        </is>
      </c>
      <c r="D88" t="inlineStr">
        <is>
          <t>143 × 180 cm · Strukturglas</t>
        </is>
      </c>
      <c r="E88" t="inlineStr">
        <is>
          <t>verfügbar</t>
        </is>
      </c>
      <c r="F88" t="inlineStr">
        <is>
          <t>Shop-Preis (öffentlich)</t>
        </is>
      </c>
      <c r="G88" s="4" t="n">
        <v>1100</v>
      </c>
      <c r="H88" s="1" t="n"/>
      <c r="K88">
        <f>IF(OR(I88="",J88=""),"",ROUND(I88*J88/1000000,2))</f>
        <v/>
      </c>
      <c r="L88" s="1">
        <f>G88</f>
        <v/>
      </c>
      <c r="M88" s="2" t="n"/>
      <c r="N88" s="3">
        <f>IF(OR(G88="",M88=""),"",1-M88/G88)</f>
        <v/>
      </c>
      <c r="O88" t="n">
        <v>2</v>
      </c>
      <c r="P88" t="n">
        <v>4</v>
      </c>
      <c r="Q88" s="1">
        <f>O88*Annahmen!$B$9</f>
        <v/>
      </c>
      <c r="R88" s="1">
        <f>P88*Annahmen!$B$9</f>
        <v/>
      </c>
      <c r="S88">
        <f>HYPERLINK(Annahmen!$B$11&amp;"#artikel/tw-13-glass-partition","Stück öffnen")</f>
        <v/>
      </c>
      <c r="T88">
        <f>HYPERLINK("https://crea-glass.ch/product/trennwand-tw-13/","Im Shop")</f>
        <v/>
      </c>
      <c r="U88" t="inlineStr">
        <is>
          <t>Shop-Preis gilt</t>
        </is>
      </c>
    </row>
    <row r="89">
      <c r="A89" t="inlineStr">
        <is>
          <t>TW 16</t>
        </is>
      </c>
      <c r="B89" t="inlineStr">
        <is>
          <t>Glastrennwände</t>
        </is>
      </c>
      <c r="C89" t="inlineStr">
        <is>
          <t>Glastrennwand 50,5 × 197 cm, Strukturglas</t>
        </is>
      </c>
      <c r="D89" t="inlineStr">
        <is>
          <t>50,5 × 197 cm · Strukturglas</t>
        </is>
      </c>
      <c r="E89" t="inlineStr">
        <is>
          <t>verfügbar</t>
        </is>
      </c>
      <c r="F89" t="inlineStr">
        <is>
          <t>Shop-Preis (öffentlich)</t>
        </is>
      </c>
      <c r="G89" s="4" t="n">
        <v>100</v>
      </c>
      <c r="H89" s="1" t="n"/>
      <c r="K89">
        <f>IF(OR(I89="",J89=""),"",ROUND(I89*J89/1000000,2))</f>
        <v/>
      </c>
      <c r="L89" s="1">
        <f>G89</f>
        <v/>
      </c>
      <c r="M89" s="2" t="n"/>
      <c r="N89" s="3">
        <f>IF(OR(G89="",M89=""),"",1-M89/G89)</f>
        <v/>
      </c>
      <c r="O89" t="n">
        <v>2</v>
      </c>
      <c r="P89" t="n">
        <v>4</v>
      </c>
      <c r="Q89" s="1">
        <f>O89*Annahmen!$B$9</f>
        <v/>
      </c>
      <c r="R89" s="1">
        <f>P89*Annahmen!$B$9</f>
        <v/>
      </c>
      <c r="S89">
        <f>HYPERLINK(Annahmen!$B$11&amp;"#artikel/tw-16-glass-partition","Stück öffnen")</f>
        <v/>
      </c>
      <c r="T89">
        <f>HYPERLINK("https://crea-glass.ch/product/glastrennwand-tw-16/","Im Shop")</f>
        <v/>
      </c>
      <c r="U89" t="inlineStr">
        <is>
          <t>Shop-Preis gilt</t>
        </is>
      </c>
    </row>
    <row r="90">
      <c r="A90" t="inlineStr">
        <is>
          <t>TW 17</t>
        </is>
      </c>
      <c r="B90" t="inlineStr">
        <is>
          <t>Glastrennwände</t>
        </is>
      </c>
      <c r="C90" t="inlineStr">
        <is>
          <t>LED-Glastrennwand 111 × 199 cm mit Mohnblumen</t>
        </is>
      </c>
      <c r="D90" t="inlineStr">
        <is>
          <t>111 × 199 cm · Mohnblumenmotiv · LED-Kante</t>
        </is>
      </c>
      <c r="E90" t="inlineStr">
        <is>
          <t>verfügbar</t>
        </is>
      </c>
      <c r="F90" t="inlineStr">
        <is>
          <t>Shop-Preis (öffentlich)</t>
        </is>
      </c>
      <c r="G90" s="4" t="n">
        <v>1390</v>
      </c>
      <c r="H90" s="1" t="n"/>
      <c r="K90">
        <f>IF(OR(I90="",J90=""),"",ROUND(I90*J90/1000000,2))</f>
        <v/>
      </c>
      <c r="L90" s="1">
        <f>G90</f>
        <v/>
      </c>
      <c r="M90" s="2" t="n"/>
      <c r="N90" s="3">
        <f>IF(OR(G90="",M90=""),"",1-M90/G90)</f>
        <v/>
      </c>
      <c r="O90" t="n">
        <v>2</v>
      </c>
      <c r="P90" t="n">
        <v>4</v>
      </c>
      <c r="Q90" s="1">
        <f>O90*Annahmen!$B$9</f>
        <v/>
      </c>
      <c r="R90" s="1">
        <f>P90*Annahmen!$B$9</f>
        <v/>
      </c>
      <c r="S90">
        <f>HYPERLINK(Annahmen!$B$11&amp;"#artikel/tw-17-glass-partition","Stück öffnen")</f>
        <v/>
      </c>
      <c r="T90">
        <f>HYPERLINK("https://crea-glass.ch/product/glastrennwand-tw-17/","Im Shop")</f>
        <v/>
      </c>
      <c r="U90" t="inlineStr">
        <is>
          <t>Shop-Preis gilt</t>
        </is>
      </c>
    </row>
    <row r="91">
      <c r="A91" s="5" t="inlineStr">
        <is>
          <t>GL 01</t>
        </is>
      </c>
      <c r="B91" s="5" t="inlineStr">
        <is>
          <t>Glastrennwände</t>
        </is>
      </c>
      <c r="C91" s="5" t="inlineStr">
        <is>
          <t>Glastrennwand 76 × 191 cm, Strukturglas</t>
        </is>
      </c>
      <c r="D91" s="5" t="inlineStr">
        <is>
          <t>76 × 191 cm · Strukturglas</t>
        </is>
      </c>
      <c r="E91" s="5" t="inlineStr">
        <is>
          <t>verkauft</t>
        </is>
      </c>
      <c r="F91" s="5" t="inlineStr">
        <is>
          <t>Shop-Preis (öffentlich)</t>
        </is>
      </c>
      <c r="G91" s="6" t="n">
        <v>500</v>
      </c>
      <c r="H91" s="6" t="n"/>
      <c r="I91" s="5" t="n"/>
      <c r="J91" s="5" t="n"/>
      <c r="K91" s="5">
        <f>IF(OR(I91="",J91=""),"",ROUND(I91*J91/1000000,2))</f>
        <v/>
      </c>
      <c r="L91" s="6" t="n"/>
      <c r="M91" s="6" t="n"/>
      <c r="N91" s="7">
        <f>IF(OR(G91="",M91=""),"",1-M91/G91)</f>
        <v/>
      </c>
      <c r="O91" s="5" t="n">
        <v>2</v>
      </c>
      <c r="P91" s="5" t="n">
        <v>4</v>
      </c>
      <c r="Q91" s="6">
        <f>O91*Annahmen!$B$9</f>
        <v/>
      </c>
      <c r="R91" s="6">
        <f>P91*Annahmen!$B$9</f>
        <v/>
      </c>
      <c r="S91" s="5">
        <f>HYPERLINK(Annahmen!$B$11&amp;"#artikel/gl-01-glass-panel","Stück öffnen")</f>
        <v/>
      </c>
      <c r="T91" s="5">
        <f>HYPERLINK("https://crea-glass.ch/product/glastrennwand-gl-01/","Im Shop")</f>
        <v/>
      </c>
      <c r="U91" s="5" t="inlineStr">
        <is>
          <t>Verkauft – nur Dokumentation</t>
        </is>
      </c>
    </row>
    <row r="92">
      <c r="A92" t="inlineStr">
        <is>
          <t>GL 02</t>
        </is>
      </c>
      <c r="B92" t="inlineStr">
        <is>
          <t>Glastrennwände</t>
        </is>
      </c>
      <c r="C92" t="inlineStr">
        <is>
          <t>Glastrennwand 76 × 203 cm, Strukturglas</t>
        </is>
      </c>
      <c r="D92" t="inlineStr">
        <is>
          <t>76 × 203 cm · Strukturglas</t>
        </is>
      </c>
      <c r="E92" t="inlineStr">
        <is>
          <t>verfügbar</t>
        </is>
      </c>
      <c r="F92" t="inlineStr">
        <is>
          <t>Shop-Preis (öffentlich)</t>
        </is>
      </c>
      <c r="G92" s="4" t="n">
        <v>800</v>
      </c>
      <c r="H92" s="1" t="n"/>
      <c r="K92">
        <f>IF(OR(I92="",J92=""),"",ROUND(I92*J92/1000000,2))</f>
        <v/>
      </c>
      <c r="L92" s="1">
        <f>G92</f>
        <v/>
      </c>
      <c r="M92" s="2" t="n"/>
      <c r="N92" s="3">
        <f>IF(OR(G92="",M92=""),"",1-M92/G92)</f>
        <v/>
      </c>
      <c r="O92" t="n">
        <v>2</v>
      </c>
      <c r="P92" t="n">
        <v>4</v>
      </c>
      <c r="Q92" s="1">
        <f>O92*Annahmen!$B$9</f>
        <v/>
      </c>
      <c r="R92" s="1">
        <f>P92*Annahmen!$B$9</f>
        <v/>
      </c>
      <c r="S92">
        <f>HYPERLINK(Annahmen!$B$11&amp;"#artikel/gl-02-glass-panel","Stück öffnen")</f>
        <v/>
      </c>
      <c r="T92">
        <f>HYPERLINK("https://crea-glass.ch/product/glastrennwand-gl-02/","Im Shop")</f>
        <v/>
      </c>
      <c r="U92" t="inlineStr">
        <is>
          <t>Shop-Preis gilt</t>
        </is>
      </c>
    </row>
    <row r="93">
      <c r="A93" t="inlineStr">
        <is>
          <t>GL 03</t>
        </is>
      </c>
      <c r="B93" t="inlineStr">
        <is>
          <t>Glastrennwände</t>
        </is>
      </c>
      <c r="C93" t="inlineStr">
        <is>
          <t>Glastrennwand 59 × 190,5 cm, Strukturglas</t>
        </is>
      </c>
      <c r="D93" t="inlineStr">
        <is>
          <t>59 × 190,5 cm · Strukturglas</t>
        </is>
      </c>
      <c r="E93" t="inlineStr">
        <is>
          <t>verfügbar</t>
        </is>
      </c>
      <c r="F93" t="inlineStr">
        <is>
          <t>Shop-Preis (öffentlich)</t>
        </is>
      </c>
      <c r="G93" s="4" t="n">
        <v>100</v>
      </c>
      <c r="H93" s="1" t="n"/>
      <c r="K93">
        <f>IF(OR(I93="",J93=""),"",ROUND(I93*J93/1000000,2))</f>
        <v/>
      </c>
      <c r="L93" s="1">
        <f>G93</f>
        <v/>
      </c>
      <c r="M93" s="2" t="n"/>
      <c r="N93" s="3">
        <f>IF(OR(G93="",M93=""),"",1-M93/G93)</f>
        <v/>
      </c>
      <c r="O93" t="n">
        <v>2</v>
      </c>
      <c r="P93" t="n">
        <v>4</v>
      </c>
      <c r="Q93" s="1">
        <f>O93*Annahmen!$B$9</f>
        <v/>
      </c>
      <c r="R93" s="1">
        <f>P93*Annahmen!$B$9</f>
        <v/>
      </c>
      <c r="S93">
        <f>HYPERLINK(Annahmen!$B$11&amp;"#artikel/gl-03-glass-panel","Stück öffnen")</f>
        <v/>
      </c>
      <c r="T93">
        <f>HYPERLINK("https://crea-glass.ch/product/glastrennwand-gl-03/","Im Shop")</f>
        <v/>
      </c>
      <c r="U93" t="inlineStr">
        <is>
          <t>Shop-Preis gilt</t>
        </is>
      </c>
    </row>
    <row r="94">
      <c r="A94" t="inlineStr">
        <is>
          <t>TÜ 01</t>
        </is>
      </c>
      <c r="B94" t="inlineStr">
        <is>
          <t>Glastüren</t>
        </is>
      </c>
      <c r="C94" t="inlineStr">
        <is>
          <t>Glastür 88,5 × 198 cm, Strukturglas</t>
        </is>
      </c>
      <c r="D94" t="inlineStr">
        <is>
          <t>88,5 × 198 cm · Strukturglas</t>
        </is>
      </c>
      <c r="E94" t="inlineStr">
        <is>
          <t>verfügbar</t>
        </is>
      </c>
      <c r="F94" t="inlineStr">
        <is>
          <t>Shop-Preis (öffentlich)</t>
        </is>
      </c>
      <c r="G94" s="4" t="n">
        <v>600</v>
      </c>
      <c r="H94" s="1" t="n"/>
      <c r="K94">
        <f>IF(OR(I94="",J94=""),"",ROUND(I94*J94/1000000,2))</f>
        <v/>
      </c>
      <c r="L94" s="1">
        <f>G94</f>
        <v/>
      </c>
      <c r="M94" s="2" t="n"/>
      <c r="N94" s="3">
        <f>IF(OR(G94="",M94=""),"",1-M94/G94)</f>
        <v/>
      </c>
      <c r="O94" t="n">
        <v>2</v>
      </c>
      <c r="P94" t="n">
        <v>3</v>
      </c>
      <c r="Q94" s="1">
        <f>O94*Annahmen!$B$9</f>
        <v/>
      </c>
      <c r="R94" s="1">
        <f>P94*Annahmen!$B$9</f>
        <v/>
      </c>
      <c r="S94">
        <f>HYPERLINK(Annahmen!$B$11&amp;"#artikel/t-01-glass-door","Stück öffnen")</f>
        <v/>
      </c>
      <c r="T94">
        <f>HYPERLINK("https://crea-glass.ch/product/glastuer-tue-01/","Im Shop")</f>
        <v/>
      </c>
      <c r="U94" t="inlineStr">
        <is>
          <t>Shop-Preis gilt</t>
        </is>
      </c>
    </row>
    <row r="95">
      <c r="A95" t="inlineStr">
        <is>
          <t>TÜ 03</t>
        </is>
      </c>
      <c r="B95" t="inlineStr">
        <is>
          <t>Glastüren</t>
        </is>
      </c>
      <c r="C95" t="inlineStr">
        <is>
          <t>Glastür 62 × 194,5 cm, Strukturglas</t>
        </is>
      </c>
      <c r="D95" t="inlineStr">
        <is>
          <t>62 × 194,5 cm · Strukturglas</t>
        </is>
      </c>
      <c r="E95" t="inlineStr">
        <is>
          <t>verfügbar</t>
        </is>
      </c>
      <c r="F95" t="inlineStr">
        <is>
          <t>Shop-Preis (öffentlich)</t>
        </is>
      </c>
      <c r="G95" s="4" t="n">
        <v>100</v>
      </c>
      <c r="H95" s="1" t="n"/>
      <c r="K95">
        <f>IF(OR(I95="",J95=""),"",ROUND(I95*J95/1000000,2))</f>
        <v/>
      </c>
      <c r="L95" s="1">
        <f>G95</f>
        <v/>
      </c>
      <c r="M95" s="2" t="n"/>
      <c r="N95" s="3">
        <f>IF(OR(G95="",M95=""),"",1-M95/G95)</f>
        <v/>
      </c>
      <c r="O95" t="n">
        <v>2</v>
      </c>
      <c r="P95" t="n">
        <v>3</v>
      </c>
      <c r="Q95" s="1">
        <f>O95*Annahmen!$B$9</f>
        <v/>
      </c>
      <c r="R95" s="1">
        <f>P95*Annahmen!$B$9</f>
        <v/>
      </c>
      <c r="S95">
        <f>HYPERLINK(Annahmen!$B$11&amp;"#artikel/t-03-glass-door","Stück öffnen")</f>
        <v/>
      </c>
      <c r="T95">
        <f>HYPERLINK("https://crea-glass.ch/product/glastuer-tue-03/","Im Shop")</f>
        <v/>
      </c>
      <c r="U95" t="inlineStr">
        <is>
          <t>Shop-Preis gilt</t>
        </is>
      </c>
    </row>
    <row r="96">
      <c r="A96" t="inlineStr">
        <is>
          <t>TÜ 04</t>
        </is>
      </c>
      <c r="B96" t="inlineStr">
        <is>
          <t>Glastüren</t>
        </is>
      </c>
      <c r="C96" t="inlineStr">
        <is>
          <t>Glastür 59 × 196,5 cm, Strukturglas</t>
        </is>
      </c>
      <c r="D96" t="inlineStr">
        <is>
          <t>59 × 196,5 cm · Strukturglas</t>
        </is>
      </c>
      <c r="E96" t="inlineStr">
        <is>
          <t>verfügbar</t>
        </is>
      </c>
      <c r="F96" t="inlineStr">
        <is>
          <t>Shop-Preis (öffentlich)</t>
        </is>
      </c>
      <c r="G96" s="4" t="n">
        <v>100</v>
      </c>
      <c r="H96" s="1" t="n"/>
      <c r="K96">
        <f>IF(OR(I96="",J96=""),"",ROUND(I96*J96/1000000,2))</f>
        <v/>
      </c>
      <c r="L96" s="1">
        <f>G96</f>
        <v/>
      </c>
      <c r="M96" s="2" t="n"/>
      <c r="N96" s="3">
        <f>IF(OR(G96="",M96=""),"",1-M96/G96)</f>
        <v/>
      </c>
      <c r="O96" t="n">
        <v>2</v>
      </c>
      <c r="P96" t="n">
        <v>3</v>
      </c>
      <c r="Q96" s="1">
        <f>O96*Annahmen!$B$9</f>
        <v/>
      </c>
      <c r="R96" s="1">
        <f>P96*Annahmen!$B$9</f>
        <v/>
      </c>
      <c r="S96">
        <f>HYPERLINK(Annahmen!$B$11&amp;"#artikel/t-04-glass-door","Stück öffnen")</f>
        <v/>
      </c>
      <c r="T96">
        <f>HYPERLINK("https://crea-glass.ch/product/glastuer-tue-04/","Im Shop")</f>
        <v/>
      </c>
      <c r="U96" t="inlineStr">
        <is>
          <t>Shop-Preis gilt</t>
        </is>
      </c>
    </row>
    <row r="97">
      <c r="A97" t="inlineStr">
        <is>
          <t>TÜ 05</t>
        </is>
      </c>
      <c r="B97" t="inlineStr">
        <is>
          <t>Glastüren</t>
        </is>
      </c>
      <c r="C97" t="inlineStr">
        <is>
          <t>Glastür 59 × 197,2 cm, Strukturglas</t>
        </is>
      </c>
      <c r="D97" t="inlineStr">
        <is>
          <t>59 × 197,2 cm · Strukturglas</t>
        </is>
      </c>
      <c r="E97" t="inlineStr">
        <is>
          <t>verfügbar</t>
        </is>
      </c>
      <c r="F97" t="inlineStr">
        <is>
          <t>Shop-Preis (öffentlich)</t>
        </is>
      </c>
      <c r="G97" s="4" t="n">
        <v>100</v>
      </c>
      <c r="H97" s="1" t="n"/>
      <c r="K97">
        <f>IF(OR(I97="",J97=""),"",ROUND(I97*J97/1000000,2))</f>
        <v/>
      </c>
      <c r="L97" s="1">
        <f>G97</f>
        <v/>
      </c>
      <c r="M97" s="2" t="n"/>
      <c r="N97" s="3">
        <f>IF(OR(G97="",M97=""),"",1-M97/G97)</f>
        <v/>
      </c>
      <c r="O97" t="n">
        <v>2</v>
      </c>
      <c r="P97" t="n">
        <v>3</v>
      </c>
      <c r="Q97" s="1">
        <f>O97*Annahmen!$B$9</f>
        <v/>
      </c>
      <c r="R97" s="1">
        <f>P97*Annahmen!$B$9</f>
        <v/>
      </c>
      <c r="S97">
        <f>HYPERLINK(Annahmen!$B$11&amp;"#artikel/t-05-glass-door","Stück öffnen")</f>
        <v/>
      </c>
      <c r="T97">
        <f>HYPERLINK("https://crea-glass.ch/product/glastuer-tue-05/","Im Shop")</f>
        <v/>
      </c>
      <c r="U97" t="inlineStr">
        <is>
          <t>Shop-Preis gilt</t>
        </is>
      </c>
    </row>
    <row r="98">
      <c r="A98" t="inlineStr">
        <is>
          <t>TÜ 06</t>
        </is>
      </c>
      <c r="B98" t="inlineStr">
        <is>
          <t>Glastüren</t>
        </is>
      </c>
      <c r="C98" t="inlineStr">
        <is>
          <t>Glastür 62 × 200,5 cm, Strukturglas</t>
        </is>
      </c>
      <c r="D98" t="inlineStr">
        <is>
          <t>62 × 200,5 cm · Strukturglas</t>
        </is>
      </c>
      <c r="E98" t="inlineStr">
        <is>
          <t>verfügbar</t>
        </is>
      </c>
      <c r="F98" t="inlineStr">
        <is>
          <t>Shop-Preis (öffentlich)</t>
        </is>
      </c>
      <c r="G98" s="4" t="n">
        <v>100</v>
      </c>
      <c r="H98" s="1" t="n"/>
      <c r="K98">
        <f>IF(OR(I98="",J98=""),"",ROUND(I98*J98/1000000,2))</f>
        <v/>
      </c>
      <c r="L98" s="1">
        <f>G98</f>
        <v/>
      </c>
      <c r="M98" s="2" t="n"/>
      <c r="N98" s="3">
        <f>IF(OR(G98="",M98=""),"",1-M98/G98)</f>
        <v/>
      </c>
      <c r="O98" t="n">
        <v>2</v>
      </c>
      <c r="P98" t="n">
        <v>3</v>
      </c>
      <c r="Q98" s="1">
        <f>O98*Annahmen!$B$9</f>
        <v/>
      </c>
      <c r="R98" s="1">
        <f>P98*Annahmen!$B$9</f>
        <v/>
      </c>
      <c r="S98">
        <f>HYPERLINK(Annahmen!$B$11&amp;"#artikel/t-06-glass-door","Stück öffnen")</f>
        <v/>
      </c>
      <c r="T98">
        <f>HYPERLINK("https://crea-glass.ch/product/glastuer-tue-06/","Im Shop")</f>
        <v/>
      </c>
      <c r="U98" t="inlineStr">
        <is>
          <t>Shop-Preis gilt</t>
        </is>
      </c>
    </row>
    <row r="99">
      <c r="A99" t="inlineStr">
        <is>
          <t>TÜ 08</t>
        </is>
      </c>
      <c r="B99" t="inlineStr">
        <is>
          <t>Glastüren</t>
        </is>
      </c>
      <c r="C99" t="inlineStr">
        <is>
          <t>Glastür 52 × 196,5 cm, Strukturglas</t>
        </is>
      </c>
      <c r="D99" t="inlineStr">
        <is>
          <t>52 × 196,5 cm · Strukturglas</t>
        </is>
      </c>
      <c r="E99" t="inlineStr">
        <is>
          <t>verfügbar</t>
        </is>
      </c>
      <c r="F99" t="inlineStr">
        <is>
          <t>Shop-Preis (öffentlich)</t>
        </is>
      </c>
      <c r="G99" s="4" t="n">
        <v>100</v>
      </c>
      <c r="H99" s="1" t="n"/>
      <c r="K99">
        <f>IF(OR(I99="",J99=""),"",ROUND(I99*J99/1000000,2))</f>
        <v/>
      </c>
      <c r="L99" s="1">
        <f>G99</f>
        <v/>
      </c>
      <c r="M99" s="2" t="n"/>
      <c r="N99" s="3">
        <f>IF(OR(G99="",M99=""),"",1-M99/G99)</f>
        <v/>
      </c>
      <c r="O99" t="n">
        <v>2</v>
      </c>
      <c r="P99" t="n">
        <v>3</v>
      </c>
      <c r="Q99" s="1">
        <f>O99*Annahmen!$B$9</f>
        <v/>
      </c>
      <c r="R99" s="1">
        <f>P99*Annahmen!$B$9</f>
        <v/>
      </c>
      <c r="S99">
        <f>HYPERLINK(Annahmen!$B$11&amp;"#artikel/t-08-glass-door","Stück öffnen")</f>
        <v/>
      </c>
      <c r="T99">
        <f>HYPERLINK("https://crea-glass.ch/product/glastuer-tue-08/","Im Shop")</f>
        <v/>
      </c>
      <c r="U99" t="inlineStr">
        <is>
          <t>Shop-Preis gilt</t>
        </is>
      </c>
    </row>
    <row r="100">
      <c r="A100" t="inlineStr">
        <is>
          <t>TÜ 09</t>
        </is>
      </c>
      <c r="B100" t="inlineStr">
        <is>
          <t>Glastüren</t>
        </is>
      </c>
      <c r="C100" t="inlineStr">
        <is>
          <t>Hohe Glastür 80,5 × 237 cm, Strukturglas</t>
        </is>
      </c>
      <c r="D100" t="inlineStr">
        <is>
          <t>80,5 × 237 cm · Strukturglas</t>
        </is>
      </c>
      <c r="E100" t="inlineStr">
        <is>
          <t>verfügbar</t>
        </is>
      </c>
      <c r="F100" t="inlineStr">
        <is>
          <t>Shop-Preis (öffentlich)</t>
        </is>
      </c>
      <c r="G100" s="4" t="n">
        <v>200</v>
      </c>
      <c r="H100" s="1" t="n"/>
      <c r="K100">
        <f>IF(OR(I100="",J100=""),"",ROUND(I100*J100/1000000,2))</f>
        <v/>
      </c>
      <c r="L100" s="1">
        <f>G100</f>
        <v/>
      </c>
      <c r="M100" s="2" t="n"/>
      <c r="N100" s="3">
        <f>IF(OR(G100="",M100=""),"",1-M100/G100)</f>
        <v/>
      </c>
      <c r="O100" t="n">
        <v>2</v>
      </c>
      <c r="P100" t="n">
        <v>3</v>
      </c>
      <c r="Q100" s="1">
        <f>O100*Annahmen!$B$9</f>
        <v/>
      </c>
      <c r="R100" s="1">
        <f>P100*Annahmen!$B$9</f>
        <v/>
      </c>
      <c r="S100">
        <f>HYPERLINK(Annahmen!$B$11&amp;"#artikel/t-09-glass-door","Stück öffnen")</f>
        <v/>
      </c>
      <c r="T100">
        <f>HYPERLINK("https://crea-glass.ch/product/glastuer-tue-09-805x2370mm/","Im Shop")</f>
        <v/>
      </c>
      <c r="U100" t="inlineStr">
        <is>
          <t>Shop-Preis gilt</t>
        </is>
      </c>
    </row>
    <row r="101">
      <c r="A101" t="inlineStr">
        <is>
          <t>TÜ 18</t>
        </is>
      </c>
      <c r="B101" t="inlineStr">
        <is>
          <t>Glastüren</t>
        </is>
      </c>
      <c r="C101" t="inlineStr">
        <is>
          <t>Glastür 83 × 197 cm, satiniert, inkl. Beschläge</t>
        </is>
      </c>
      <c r="D101" t="inlineStr">
        <is>
          <t>83 × 197 cm · satiniert · inkl. Beschläge</t>
        </is>
      </c>
      <c r="E101" t="inlineStr">
        <is>
          <t>verfügbar</t>
        </is>
      </c>
      <c r="F101" t="inlineStr">
        <is>
          <t>Shop-Preis (öffentlich)</t>
        </is>
      </c>
      <c r="G101" s="4" t="n">
        <v>150</v>
      </c>
      <c r="H101" s="1" t="n"/>
      <c r="K101">
        <f>IF(OR(I101="",J101=""),"",ROUND(I101*J101/1000000,2))</f>
        <v/>
      </c>
      <c r="L101" s="1">
        <f>G101</f>
        <v/>
      </c>
      <c r="M101" s="2" t="n"/>
      <c r="N101" s="3">
        <f>IF(OR(G101="",M101=""),"",1-M101/G101)</f>
        <v/>
      </c>
      <c r="O101" t="n">
        <v>2</v>
      </c>
      <c r="P101" t="n">
        <v>3</v>
      </c>
      <c r="Q101" s="1">
        <f>O101*Annahmen!$B$9</f>
        <v/>
      </c>
      <c r="R101" s="1">
        <f>P101*Annahmen!$B$9</f>
        <v/>
      </c>
      <c r="S101">
        <f>HYPERLINK(Annahmen!$B$11&amp;"#artikel/t-18-glass-door","Stück öffnen")</f>
        <v/>
      </c>
      <c r="T101">
        <f>HYPERLINK("https://crea-glass.ch/product/glastuere-inkl-beschlaege-tue18/","Im Shop")</f>
        <v/>
      </c>
      <c r="U101" t="inlineStr">
        <is>
          <t>Shop-Preis gilt</t>
        </is>
      </c>
    </row>
    <row r="102">
      <c r="A102" t="inlineStr">
        <is>
          <t>TÜ 15 + TW 15</t>
        </is>
      </c>
      <c r="B102" t="inlineStr">
        <is>
          <t>Glastüren</t>
        </is>
      </c>
      <c r="C102" t="inlineStr">
        <is>
          <t>Glastür mit Seitenteil 101 × 196 cm</t>
        </is>
      </c>
      <c r="D102" t="inlineStr">
        <is>
          <t>101 × 196 cm · Türe und Seitenteil · Strukturglas</t>
        </is>
      </c>
      <c r="E102" t="inlineStr">
        <is>
          <t>verfügbar</t>
        </is>
      </c>
      <c r="F102" t="inlineStr">
        <is>
          <t>Katalog 05/2025 (nicht im Shop)</t>
        </is>
      </c>
      <c r="G102" s="1" t="n">
        <v>300</v>
      </c>
      <c r="H102" s="1" t="n"/>
      <c r="K102">
        <f>IF(OR(I102="",J102=""),"",ROUND(I102*J102/1000000,2))</f>
        <v/>
      </c>
      <c r="L102" s="1">
        <f>IF(G102="","",ROUND(G102*(1-IF(G102&lt;=300,Annahmen!$B$2,IF(G102&lt;=1000,Annahmen!$B$3,IF(G102&lt;=3000,Annahmen!$B$4,Annahmen!$B$5))))/Annahmen!$B$6,0)*Annahmen!$B$6)</f>
        <v/>
      </c>
      <c r="M102" s="2" t="n"/>
      <c r="N102" s="3">
        <f>IF(OR(G102="",M102=""),"",1-M102/G102)</f>
        <v/>
      </c>
      <c r="O102" t="n">
        <v>2</v>
      </c>
      <c r="P102" t="n">
        <v>3</v>
      </c>
      <c r="Q102" s="1">
        <f>O102*Annahmen!$B$9</f>
        <v/>
      </c>
      <c r="R102" s="1">
        <f>P102*Annahmen!$B$9</f>
        <v/>
      </c>
      <c r="S102">
        <f>HYPERLINK(Annahmen!$B$11&amp;"#artikel/t-15-tw-15-glass-door","Stück öffnen")</f>
        <v/>
      </c>
      <c r="T102" t="inlineStr"/>
      <c r="U102" t="inlineStr">
        <is>
          <t>Nicht im Shop. Katalogpreis 05/2025, Vorschlag mit Rabattstufe</t>
        </is>
      </c>
    </row>
    <row r="103">
      <c r="A103" t="inlineStr">
        <is>
          <t>BI 02</t>
        </is>
      </c>
      <c r="B103" t="inlineStr">
        <is>
          <t>Glasbilder</t>
        </is>
      </c>
      <c r="C103" t="inlineStr">
        <is>
          <t>LED-Glasbild 72,5 × 143 cm, Blau, Holzrahmen</t>
        </is>
      </c>
      <c r="D103" t="inlineStr">
        <is>
          <t>72,5 × 143 cm · LED-Hinterleuchtung · Holzrahmen</t>
        </is>
      </c>
      <c r="E103" t="inlineStr">
        <is>
          <t>verfügbar</t>
        </is>
      </c>
      <c r="F103" t="inlineStr">
        <is>
          <t>Shop-Preis (öffentlich)</t>
        </is>
      </c>
      <c r="G103" s="4" t="n">
        <v>400</v>
      </c>
      <c r="H103" s="1" t="n"/>
      <c r="K103">
        <f>IF(OR(I103="",J103=""),"",ROUND(I103*J103/1000000,2))</f>
        <v/>
      </c>
      <c r="L103" s="1">
        <f>G103</f>
        <v/>
      </c>
      <c r="M103" s="2" t="n"/>
      <c r="N103" s="3">
        <f>IF(OR(G103="",M103=""),"",1-M103/G103)</f>
        <v/>
      </c>
      <c r="O103" t="n">
        <v>0.5</v>
      </c>
      <c r="P103" t="n">
        <v>1</v>
      </c>
      <c r="Q103" s="1">
        <f>O103*Annahmen!$B$9</f>
        <v/>
      </c>
      <c r="R103" s="1">
        <f>P103*Annahmen!$B$9</f>
        <v/>
      </c>
      <c r="S103">
        <f>HYPERLINK(Annahmen!$B$11&amp;"#artikel/bi-02-glass-art-panel","Stück öffnen")</f>
        <v/>
      </c>
      <c r="T103">
        <f>HYPERLINK("https://crea-glass.ch/product/glasbild-bi-02/","Im Shop")</f>
        <v/>
      </c>
      <c r="U103" t="inlineStr">
        <is>
          <t>Shop-Preis gilt</t>
        </is>
      </c>
    </row>
    <row r="104">
      <c r="A104" t="inlineStr">
        <is>
          <t>BI 01</t>
        </is>
      </c>
      <c r="B104" t="inlineStr">
        <is>
          <t>Glasbilder</t>
        </is>
      </c>
      <c r="C104" t="inlineStr">
        <is>
          <t>Glasbild 106 × 114 cm, Landschaft in Gelb und Blau</t>
        </is>
      </c>
      <c r="D104" t="inlineStr">
        <is>
          <t>106 × 114 cm · Holzrahmen</t>
        </is>
      </c>
      <c r="E104" t="inlineStr">
        <is>
          <t>verfügbar</t>
        </is>
      </c>
      <c r="F104" t="inlineStr">
        <is>
          <t>Shop-Preis (öffentlich)</t>
        </is>
      </c>
      <c r="G104" s="4" t="n">
        <v>650</v>
      </c>
      <c r="H104" s="1" t="n"/>
      <c r="K104">
        <f>IF(OR(I104="",J104=""),"",ROUND(I104*J104/1000000,2))</f>
        <v/>
      </c>
      <c r="L104" s="1">
        <f>G104</f>
        <v/>
      </c>
      <c r="M104" s="2" t="n"/>
      <c r="N104" s="3">
        <f>IF(OR(G104="",M104=""),"",1-M104/G104)</f>
        <v/>
      </c>
      <c r="O104" t="n">
        <v>0.5</v>
      </c>
      <c r="P104" t="n">
        <v>1</v>
      </c>
      <c r="Q104" s="1">
        <f>O104*Annahmen!$B$9</f>
        <v/>
      </c>
      <c r="R104" s="1">
        <f>P104*Annahmen!$B$9</f>
        <v/>
      </c>
      <c r="S104">
        <f>HYPERLINK(Annahmen!$B$11&amp;"#artikel/bi-01-glass-art-panel","Stück öffnen")</f>
        <v/>
      </c>
      <c r="T104">
        <f>HYPERLINK("https://crea-glass.ch/product/glasbild-bi-01/","Im Shop")</f>
        <v/>
      </c>
      <c r="U104" t="inlineStr">
        <is>
          <t>Shop-Preis gilt</t>
        </is>
      </c>
    </row>
    <row r="105">
      <c r="A105" t="inlineStr">
        <is>
          <t>BI 05</t>
        </is>
      </c>
      <c r="B105" t="inlineStr">
        <is>
          <t>Glasbilder</t>
        </is>
      </c>
      <c r="C105" t="inlineStr">
        <is>
          <t>LED-Glasbild 104 × 70 cm, Grün, Altholzrahmen</t>
        </is>
      </c>
      <c r="D105" t="inlineStr">
        <is>
          <t>104 × 70 cm · LED-Hinterleuchtung · Altholzrahmen</t>
        </is>
      </c>
      <c r="E105" t="inlineStr">
        <is>
          <t>verfügbar</t>
        </is>
      </c>
      <c r="F105" t="inlineStr">
        <is>
          <t>Shop-Preis (öffentlich)</t>
        </is>
      </c>
      <c r="G105" s="4" t="n">
        <v>200</v>
      </c>
      <c r="H105" s="1" t="n"/>
      <c r="K105">
        <f>IF(OR(I105="",J105=""),"",ROUND(I105*J105/1000000,2))</f>
        <v/>
      </c>
      <c r="L105" s="1">
        <f>G105</f>
        <v/>
      </c>
      <c r="M105" s="2" t="n"/>
      <c r="N105" s="3">
        <f>IF(OR(G105="",M105=""),"",1-M105/G105)</f>
        <v/>
      </c>
      <c r="O105" t="n">
        <v>0.5</v>
      </c>
      <c r="P105" t="n">
        <v>1</v>
      </c>
      <c r="Q105" s="1">
        <f>O105*Annahmen!$B$9</f>
        <v/>
      </c>
      <c r="R105" s="1">
        <f>P105*Annahmen!$B$9</f>
        <v/>
      </c>
      <c r="S105">
        <f>HYPERLINK(Annahmen!$B$11&amp;"#artikel/bi-05-glass-art-panel","Stück öffnen")</f>
        <v/>
      </c>
      <c r="T105">
        <f>HYPERLINK("https://crea-glass.ch/product/glasbild-bi-05/","Im Shop")</f>
        <v/>
      </c>
      <c r="U105" t="inlineStr">
        <is>
          <t>Shop-Preis gilt</t>
        </is>
      </c>
    </row>
    <row r="106">
      <c r="A106" t="inlineStr">
        <is>
          <t>BI 03</t>
        </is>
      </c>
      <c r="B106" t="inlineStr">
        <is>
          <t>Glasbilder</t>
        </is>
      </c>
      <c r="C106" t="inlineStr">
        <is>
          <t>Glasbild 104 × 70 cm, Blau-Grün, Altholzrahmen</t>
        </is>
      </c>
      <c r="D106" t="inlineStr">
        <is>
          <t>104 × 70 cm · Altholzrahmen</t>
        </is>
      </c>
      <c r="E106" t="inlineStr">
        <is>
          <t>verfügbar</t>
        </is>
      </c>
      <c r="F106" t="inlineStr">
        <is>
          <t>Shop-Preis (öffentlich)</t>
        </is>
      </c>
      <c r="G106" s="4" t="n">
        <v>300</v>
      </c>
      <c r="H106" s="1" t="n"/>
      <c r="K106">
        <f>IF(OR(I106="",J106=""),"",ROUND(I106*J106/1000000,2))</f>
        <v/>
      </c>
      <c r="L106" s="1">
        <f>G106</f>
        <v/>
      </c>
      <c r="M106" s="2" t="n"/>
      <c r="N106" s="3">
        <f>IF(OR(G106="",M106=""),"",1-M106/G106)</f>
        <v/>
      </c>
      <c r="O106" t="n">
        <v>0.5</v>
      </c>
      <c r="P106" t="n">
        <v>1</v>
      </c>
      <c r="Q106" s="1">
        <f>O106*Annahmen!$B$9</f>
        <v/>
      </c>
      <c r="R106" s="1">
        <f>P106*Annahmen!$B$9</f>
        <v/>
      </c>
      <c r="S106">
        <f>HYPERLINK(Annahmen!$B$11&amp;"#artikel/bi-03-glass-art-panel","Stück öffnen")</f>
        <v/>
      </c>
      <c r="T106">
        <f>HYPERLINK("https://crea-glass.ch/product/glasbild-bi-03/","Im Shop")</f>
        <v/>
      </c>
      <c r="U106" t="inlineStr">
        <is>
          <t>Shop-Preis gilt</t>
        </is>
      </c>
    </row>
    <row r="107">
      <c r="A107" t="inlineStr">
        <is>
          <t>BI 07</t>
        </is>
      </c>
      <c r="B107" t="inlineStr">
        <is>
          <t>Glasbilder</t>
        </is>
      </c>
      <c r="C107" t="inlineStr">
        <is>
          <t>Glasbild 133 × 113 cm mit Farbraster, Holzrahmen</t>
        </is>
      </c>
      <c r="D107" t="inlineStr">
        <is>
          <t>133 × 113 cm · Holzrahmen</t>
        </is>
      </c>
      <c r="E107" t="inlineStr">
        <is>
          <t>verfügbar</t>
        </is>
      </c>
      <c r="F107" t="inlineStr">
        <is>
          <t>Shop-Preis (öffentlich)</t>
        </is>
      </c>
      <c r="G107" s="4" t="n">
        <v>200</v>
      </c>
      <c r="H107" s="1" t="n"/>
      <c r="K107">
        <f>IF(OR(I107="",J107=""),"",ROUND(I107*J107/1000000,2))</f>
        <v/>
      </c>
      <c r="L107" s="1">
        <f>G107</f>
        <v/>
      </c>
      <c r="M107" s="2" t="n"/>
      <c r="N107" s="3">
        <f>IF(OR(G107="",M107=""),"",1-M107/G107)</f>
        <v/>
      </c>
      <c r="O107" t="n">
        <v>0.5</v>
      </c>
      <c r="P107" t="n">
        <v>1</v>
      </c>
      <c r="Q107" s="1">
        <f>O107*Annahmen!$B$9</f>
        <v/>
      </c>
      <c r="R107" s="1">
        <f>P107*Annahmen!$B$9</f>
        <v/>
      </c>
      <c r="S107">
        <f>HYPERLINK(Annahmen!$B$11&amp;"#artikel/bi-07-glass-art-panel","Stück öffnen")</f>
        <v/>
      </c>
      <c r="T107">
        <f>HYPERLINK("https://crea-glass.ch/product/glasbild-bi-07/","Im Shop")</f>
        <v/>
      </c>
      <c r="U107" t="inlineStr">
        <is>
          <t>Shop-Preis gilt</t>
        </is>
      </c>
    </row>
    <row r="108">
      <c r="A108" t="inlineStr">
        <is>
          <t>BI 06</t>
        </is>
      </c>
      <c r="B108" t="inlineStr">
        <is>
          <t>Glasbilder</t>
        </is>
      </c>
      <c r="C108" t="inlineStr">
        <is>
          <t>Glasbild 86 × 159 cm, Rot auf Dunkel, Altholzrahmen</t>
        </is>
      </c>
      <c r="D108" t="inlineStr">
        <is>
          <t>86 × 159 cm · Altholzrahmen</t>
        </is>
      </c>
      <c r="E108" t="inlineStr">
        <is>
          <t>verfügbar</t>
        </is>
      </c>
      <c r="F108" t="inlineStr">
        <is>
          <t>Shop-Preis (öffentlich)</t>
        </is>
      </c>
      <c r="G108" s="4" t="n">
        <v>400</v>
      </c>
      <c r="H108" s="1" t="n"/>
      <c r="K108">
        <f>IF(OR(I108="",J108=""),"",ROUND(I108*J108/1000000,2))</f>
        <v/>
      </c>
      <c r="L108" s="1">
        <f>G108</f>
        <v/>
      </c>
      <c r="M108" s="2" t="n"/>
      <c r="N108" s="3">
        <f>IF(OR(G108="",M108=""),"",1-M108/G108)</f>
        <v/>
      </c>
      <c r="O108" t="n">
        <v>0.5</v>
      </c>
      <c r="P108" t="n">
        <v>1</v>
      </c>
      <c r="Q108" s="1">
        <f>O108*Annahmen!$B$9</f>
        <v/>
      </c>
      <c r="R108" s="1">
        <f>P108*Annahmen!$B$9</f>
        <v/>
      </c>
      <c r="S108">
        <f>HYPERLINK(Annahmen!$B$11&amp;"#artikel/bi-06-glass-art-panel","Stück öffnen")</f>
        <v/>
      </c>
      <c r="T108">
        <f>HYPERLINK("https://crea-glass.ch/product/glasbild-bi-06/","Im Shop")</f>
        <v/>
      </c>
      <c r="U108" t="inlineStr">
        <is>
          <t>Shop-Preis gilt</t>
        </is>
      </c>
    </row>
    <row r="109">
      <c r="A109" t="inlineStr">
        <is>
          <t>BI 10</t>
        </is>
      </c>
      <c r="B109" t="inlineStr">
        <is>
          <t>Glasbilder</t>
        </is>
      </c>
      <c r="C109" t="inlineStr">
        <is>
          <t>Glasobjekt 59 × 73 cm aus Glasstäben</t>
        </is>
      </c>
      <c r="D109" t="inlineStr">
        <is>
          <t>59 × 73 cm · Glasstäbe · Wandhalter</t>
        </is>
      </c>
      <c r="E109" t="inlineStr">
        <is>
          <t>verfügbar</t>
        </is>
      </c>
      <c r="F109" t="inlineStr">
        <is>
          <t>Shop-Preis (öffentlich)</t>
        </is>
      </c>
      <c r="G109" s="4" t="n">
        <v>150</v>
      </c>
      <c r="H109" s="1" t="n"/>
      <c r="K109">
        <f>IF(OR(I109="",J109=""),"",ROUND(I109*J109/1000000,2))</f>
        <v/>
      </c>
      <c r="L109" s="1">
        <f>G109</f>
        <v/>
      </c>
      <c r="M109" s="2" t="n"/>
      <c r="N109" s="3">
        <f>IF(OR(G109="",M109=""),"",1-M109/G109)</f>
        <v/>
      </c>
      <c r="O109" t="n">
        <v>0.5</v>
      </c>
      <c r="P109" t="n">
        <v>1</v>
      </c>
      <c r="Q109" s="1">
        <f>O109*Annahmen!$B$9</f>
        <v/>
      </c>
      <c r="R109" s="1">
        <f>P109*Annahmen!$B$9</f>
        <v/>
      </c>
      <c r="S109">
        <f>HYPERLINK(Annahmen!$B$11&amp;"#artikel/bi-10-glass-art-panel","Stück öffnen")</f>
        <v/>
      </c>
      <c r="T109">
        <f>HYPERLINK("https://crea-glass.ch/product/glasbild-bi-10/","Im Shop")</f>
        <v/>
      </c>
      <c r="U109" t="inlineStr">
        <is>
          <t>Shop-Preis gilt</t>
        </is>
      </c>
    </row>
    <row r="110">
      <c r="A110" t="inlineStr">
        <is>
          <t>BI 09</t>
        </is>
      </c>
      <c r="B110" t="inlineStr">
        <is>
          <t>Glasbilder</t>
        </is>
      </c>
      <c r="C110" t="inlineStr">
        <is>
          <t>Glasrelief 72 × 74 cm mit Gitterstruktur</t>
        </is>
      </c>
      <c r="D110" t="inlineStr">
        <is>
          <t>72 × 74 cm · Strukturglas</t>
        </is>
      </c>
      <c r="E110" t="inlineStr">
        <is>
          <t>verfügbar</t>
        </is>
      </c>
      <c r="F110" t="inlineStr">
        <is>
          <t>Shop-Preis (öffentlich)</t>
        </is>
      </c>
      <c r="G110" s="4" t="n">
        <v>80</v>
      </c>
      <c r="H110" s="1" t="n"/>
      <c r="K110">
        <f>IF(OR(I110="",J110=""),"",ROUND(I110*J110/1000000,2))</f>
        <v/>
      </c>
      <c r="L110" s="1">
        <f>G110</f>
        <v/>
      </c>
      <c r="M110" s="2" t="n"/>
      <c r="N110" s="3">
        <f>IF(OR(G110="",M110=""),"",1-M110/G110)</f>
        <v/>
      </c>
      <c r="O110" t="n">
        <v>0.5</v>
      </c>
      <c r="P110" t="n">
        <v>1</v>
      </c>
      <c r="Q110" s="1">
        <f>O110*Annahmen!$B$9</f>
        <v/>
      </c>
      <c r="R110" s="1">
        <f>P110*Annahmen!$B$9</f>
        <v/>
      </c>
      <c r="S110">
        <f>HYPERLINK(Annahmen!$B$11&amp;"#artikel/bi-09-glass-art-panel","Stück öffnen")</f>
        <v/>
      </c>
      <c r="T110">
        <f>HYPERLINK("https://crea-glass.ch/product/glasbild-bi-09/","Im Shop")</f>
        <v/>
      </c>
      <c r="U110" t="inlineStr">
        <is>
          <t>Shop-Preis gilt</t>
        </is>
      </c>
    </row>
    <row r="111">
      <c r="A111" t="inlineStr">
        <is>
          <t>DIV 04</t>
        </is>
      </c>
      <c r="B111" t="inlineStr">
        <is>
          <t>Tische &amp; Möbel</t>
        </is>
      </c>
      <c r="C111" t="inlineStr">
        <is>
          <t>Badmöbel 94,5 × 200 cm mit Glastablaren</t>
        </is>
      </c>
      <c r="D111" t="inlineStr">
        <is>
          <t>94,5 × 200 cm · Glastablare blau · Spiegel</t>
        </is>
      </c>
      <c r="E111" t="inlineStr">
        <is>
          <t>verfügbar</t>
        </is>
      </c>
      <c r="F111" t="inlineStr">
        <is>
          <t>Aktionspreis Nov 2026 (bestätigt)</t>
        </is>
      </c>
      <c r="G111" s="1" t="n">
        <v>200</v>
      </c>
      <c r="H111" s="1" t="n">
        <v>1500</v>
      </c>
      <c r="K111">
        <f>IF(OR(I111="",J111=""),"",ROUND(I111*J111/1000000,2))</f>
        <v/>
      </c>
      <c r="L111" s="1">
        <f>G111</f>
        <v/>
      </c>
      <c r="M111" s="2" t="n"/>
      <c r="N111" s="3">
        <f>IF(OR(G111="",M111=""),"",1-M111/G111)</f>
        <v/>
      </c>
      <c r="O111" t="n">
        <v>1</v>
      </c>
      <c r="P111" t="n">
        <v>2</v>
      </c>
      <c r="Q111" s="1">
        <f>O111*Annahmen!$B$9</f>
        <v/>
      </c>
      <c r="R111" s="1">
        <f>P111*Annahmen!$B$9</f>
        <v/>
      </c>
      <c r="S111">
        <f>HYPERLINK(Annahmen!$B$11&amp;"#artikel/div-04-storage-cabinet","Stück öffnen")</f>
        <v/>
      </c>
      <c r="T111">
        <f>HYPERLINK("https://crea-glass.ch/product/moebel-mit-glasabdeckung-und-glastablare/","Im Shop")</f>
        <v/>
      </c>
      <c r="U111" t="inlineStr">
        <is>
          <t>Aktionspreis bestätigt</t>
        </is>
      </c>
    </row>
    <row r="112">
      <c r="A112" t="inlineStr">
        <is>
          <t>DIV 05</t>
        </is>
      </c>
      <c r="B112" t="inlineStr">
        <is>
          <t>Zubehör</t>
        </is>
      </c>
      <c r="C112" t="inlineStr">
        <is>
          <t>Bartheke 213 × 180 cm mit Strukturglas-Platte</t>
        </is>
      </c>
      <c r="D112" t="inlineStr">
        <is>
          <t>213 × 180 cm · Glasplatte · Korpus schwarz</t>
        </is>
      </c>
      <c r="E112" t="inlineStr">
        <is>
          <t>verfügbar</t>
        </is>
      </c>
      <c r="F112" t="inlineStr">
        <is>
          <t>Shop-Preis (öffentlich)</t>
        </is>
      </c>
      <c r="G112" s="4" t="n">
        <v>1500</v>
      </c>
      <c r="H112" s="1" t="n"/>
      <c r="K112">
        <f>IF(OR(I112="",J112=""),"",ROUND(I112*J112/1000000,2))</f>
        <v/>
      </c>
      <c r="L112" s="1">
        <f>G112</f>
        <v/>
      </c>
      <c r="M112" s="2" t="n"/>
      <c r="N112" s="3">
        <f>IF(OR(G112="",M112=""),"",1-M112/G112)</f>
        <v/>
      </c>
      <c r="O112" t="n">
        <v>2</v>
      </c>
      <c r="P112" t="n">
        <v>3</v>
      </c>
      <c r="Q112" s="1">
        <f>O112*Annahmen!$B$9</f>
        <v/>
      </c>
      <c r="R112" s="1">
        <f>P112*Annahmen!$B$9</f>
        <v/>
      </c>
      <c r="S112">
        <f>HYPERLINK(Annahmen!$B$11&amp;"#artikel/div-05-bar-unit","Stück öffnen")</f>
        <v/>
      </c>
      <c r="T112">
        <f>HYPERLINK("https://crea-glass.ch/product/baranlage-2130x1800mm/","Im Shop")</f>
        <v/>
      </c>
      <c r="U112" t="inlineStr">
        <is>
          <t>Shop-Preis gilt</t>
        </is>
      </c>
    </row>
    <row r="113">
      <c r="A113" t="inlineStr">
        <is>
          <t>DIV 06</t>
        </is>
      </c>
      <c r="B113" t="inlineStr">
        <is>
          <t>Zubehör</t>
        </is>
      </c>
      <c r="C113" t="inlineStr">
        <is>
          <t>Infrarotheizung 50 × 100 cm mit Handtuchhalter</t>
        </is>
      </c>
      <c r="D113" t="inlineStr">
        <is>
          <t>Infrarotheizung 50 × 100 cm · Handtuchhalter 62 × 16 cm · Komplettset</t>
        </is>
      </c>
      <c r="E113" t="inlineStr">
        <is>
          <t>verfügbar</t>
        </is>
      </c>
      <c r="F113" t="inlineStr">
        <is>
          <t>Shop-Preis (öffentlich)</t>
        </is>
      </c>
      <c r="G113" s="4" t="n">
        <v>300</v>
      </c>
      <c r="H113" s="1" t="n"/>
      <c r="K113">
        <f>IF(OR(I113="",J113=""),"",ROUND(I113*J113/1000000,2))</f>
        <v/>
      </c>
      <c r="L113" s="1">
        <f>G113</f>
        <v/>
      </c>
      <c r="M113" s="2" t="n"/>
      <c r="N113" s="3">
        <f>IF(OR(G113="",M113=""),"",1-M113/G113)</f>
        <v/>
      </c>
      <c r="O113" t="n">
        <v>0.5</v>
      </c>
      <c r="P113" t="n">
        <v>1</v>
      </c>
      <c r="Q113" s="1">
        <f>O113*Annahmen!$B$9</f>
        <v/>
      </c>
      <c r="R113" s="1">
        <f>P113*Annahmen!$B$9</f>
        <v/>
      </c>
      <c r="S113">
        <f>HYPERLINK(Annahmen!$B$11&amp;"#artikel/div-06-infrared-heater-with-towel-rail","Stück öffnen")</f>
        <v/>
      </c>
      <c r="T113">
        <f>HYPERLINK("https://crea-glass.ch/product/infrarotheizung-und-handtuchhalter/","Im Shop")</f>
        <v/>
      </c>
      <c r="U113" t="inlineStr">
        <is>
          <t>Shop-Preis gilt</t>
        </is>
      </c>
    </row>
    <row r="114">
      <c r="A114" t="inlineStr">
        <is>
          <t>DIV 15</t>
        </is>
      </c>
      <c r="B114" t="inlineStr">
        <is>
          <t>Zubehör</t>
        </is>
      </c>
      <c r="C114" t="inlineStr">
        <is>
          <t>Design-Siphon Schwarz matt</t>
        </is>
      </c>
      <c r="D114" t="inlineStr">
        <is>
          <t>Siphon · schwarz matt · für Waschtisch</t>
        </is>
      </c>
      <c r="E114" t="inlineStr">
        <is>
          <t>verfügbar</t>
        </is>
      </c>
      <c r="F114" t="inlineStr">
        <is>
          <t>Shop-Preis (öffentlich)</t>
        </is>
      </c>
      <c r="G114" s="4" t="n">
        <v>50</v>
      </c>
      <c r="H114" s="1" t="n"/>
      <c r="K114">
        <f>IF(OR(I114="",J114=""),"",ROUND(I114*J114/1000000,2))</f>
        <v/>
      </c>
      <c r="L114" s="1">
        <f>G114</f>
        <v/>
      </c>
      <c r="M114" s="2" t="n"/>
      <c r="N114" s="3">
        <f>IF(OR(G114="",M114=""),"",1-M114/G114)</f>
        <v/>
      </c>
      <c r="O114" t="n">
        <v>0.5</v>
      </c>
      <c r="P114" t="n">
        <v>1</v>
      </c>
      <c r="Q114" s="1">
        <f>O114*Annahmen!$B$9</f>
        <v/>
      </c>
      <c r="R114" s="1">
        <f>P114*Annahmen!$B$9</f>
        <v/>
      </c>
      <c r="S114">
        <f>HYPERLINK(Annahmen!$B$11&amp;"#artikel/div-15-washbasin-trap","Stück öffnen")</f>
        <v/>
      </c>
      <c r="T114">
        <f>HYPERLINK("https://crea-glass.ch/product/siphon-schwarz/","Im Shop")</f>
        <v/>
      </c>
      <c r="U114" t="inlineStr">
        <is>
          <t>Shop-Preis gilt</t>
        </is>
      </c>
    </row>
    <row r="115">
      <c r="A115" t="inlineStr">
        <is>
          <t>DIV 16</t>
        </is>
      </c>
      <c r="B115" t="inlineStr">
        <is>
          <t>Zubehör</t>
        </is>
      </c>
      <c r="C115" t="inlineStr">
        <is>
          <t>Design-Siphon Chrom</t>
        </is>
      </c>
      <c r="D115" t="inlineStr">
        <is>
          <t>Siphon · chrom · für Waschtisch</t>
        </is>
      </c>
      <c r="E115" t="inlineStr">
        <is>
          <t>verfügbar</t>
        </is>
      </c>
      <c r="F115" t="inlineStr">
        <is>
          <t>Shop-Preis (öffentlich)</t>
        </is>
      </c>
      <c r="G115" s="4" t="n">
        <v>40</v>
      </c>
      <c r="H115" s="1" t="n"/>
      <c r="K115">
        <f>IF(OR(I115="",J115=""),"",ROUND(I115*J115/1000000,2))</f>
        <v/>
      </c>
      <c r="L115" s="1">
        <f>G115</f>
        <v/>
      </c>
      <c r="M115" s="2" t="n"/>
      <c r="N115" s="3">
        <f>IF(OR(G115="",M115=""),"",1-M115/G115)</f>
        <v/>
      </c>
      <c r="O115" t="n">
        <v>0.5</v>
      </c>
      <c r="P115" t="n">
        <v>1</v>
      </c>
      <c r="Q115" s="1">
        <f>O115*Annahmen!$B$9</f>
        <v/>
      </c>
      <c r="R115" s="1">
        <f>P115*Annahmen!$B$9</f>
        <v/>
      </c>
      <c r="S115">
        <f>HYPERLINK(Annahmen!$B$11&amp;"#artikel/div-16-washbasin-trap","Stück öffnen")</f>
        <v/>
      </c>
      <c r="T115">
        <f>HYPERLINK("https://crea-glass.ch/product/siphon-chrom-fuer-glaswaschtische/","Im Shop")</f>
        <v/>
      </c>
      <c r="U115" t="inlineStr">
        <is>
          <t>Shop-Preis gilt</t>
        </is>
      </c>
    </row>
    <row r="116">
      <c r="A116" t="inlineStr">
        <is>
          <t>DIV 08</t>
        </is>
      </c>
      <c r="B116" t="inlineStr">
        <is>
          <t>Zubehör</t>
        </is>
      </c>
      <c r="C116" t="inlineStr">
        <is>
          <t>Duschhocker Mineralguss, geschwungen</t>
        </is>
      </c>
      <c r="D116" t="inlineStr">
        <is>
          <t>42 × 23 cm · Mineralguss weiss</t>
        </is>
      </c>
      <c r="E116" t="inlineStr">
        <is>
          <t>verfügbar</t>
        </is>
      </c>
      <c r="F116" t="inlineStr">
        <is>
          <t>Shop-Preis (öffentlich)</t>
        </is>
      </c>
      <c r="G116" s="4" t="n">
        <v>150</v>
      </c>
      <c r="H116" s="1" t="n"/>
      <c r="K116">
        <f>IF(OR(I116="",J116=""),"",ROUND(I116*J116/1000000,2))</f>
        <v/>
      </c>
      <c r="L116" s="1">
        <f>G116</f>
        <v/>
      </c>
      <c r="M116" s="2" t="n"/>
      <c r="N116" s="3">
        <f>IF(OR(G116="",M116=""),"",1-M116/G116)</f>
        <v/>
      </c>
      <c r="O116" t="n">
        <v>0.5</v>
      </c>
      <c r="P116" t="n">
        <v>1</v>
      </c>
      <c r="Q116" s="1">
        <f>O116*Annahmen!$B$9</f>
        <v/>
      </c>
      <c r="R116" s="1">
        <f>P116*Annahmen!$B$9</f>
        <v/>
      </c>
      <c r="S116">
        <f>HYPERLINK(Annahmen!$B$11&amp;"#artikel/div-08-mineral-cast-shower-stool","Stück öffnen")</f>
        <v/>
      </c>
      <c r="T116">
        <f>HYPERLINK("https://crea-glass.ch/product/mineralgusshocker-div-08/","Im Shop")</f>
        <v/>
      </c>
      <c r="U116" t="inlineStr">
        <is>
          <t>Shop-Preis gilt</t>
        </is>
      </c>
    </row>
    <row r="117">
      <c r="A117" t="inlineStr">
        <is>
          <t>DIV 07</t>
        </is>
      </c>
      <c r="B117" t="inlineStr">
        <is>
          <t>Zubehör</t>
        </is>
      </c>
      <c r="C117" t="inlineStr">
        <is>
          <t>Duschhocker Mineralguss, U-Form</t>
        </is>
      </c>
      <c r="D117" t="inlineStr">
        <is>
          <t>40 × 30 cm · Mineralguss weiss</t>
        </is>
      </c>
      <c r="E117" t="inlineStr">
        <is>
          <t>verfügbar</t>
        </is>
      </c>
      <c r="F117" t="inlineStr">
        <is>
          <t>Shop-Preis (öffentlich)</t>
        </is>
      </c>
      <c r="G117" s="4" t="n">
        <v>150</v>
      </c>
      <c r="H117" s="1" t="n"/>
      <c r="K117">
        <f>IF(OR(I117="",J117=""),"",ROUND(I117*J117/1000000,2))</f>
        <v/>
      </c>
      <c r="L117" s="1">
        <f>G117</f>
        <v/>
      </c>
      <c r="M117" s="2" t="n"/>
      <c r="N117" s="3">
        <f>IF(OR(G117="",M117=""),"",1-M117/G117)</f>
        <v/>
      </c>
      <c r="O117" t="n">
        <v>0.5</v>
      </c>
      <c r="P117" t="n">
        <v>1</v>
      </c>
      <c r="Q117" s="1">
        <f>O117*Annahmen!$B$9</f>
        <v/>
      </c>
      <c r="R117" s="1">
        <f>P117*Annahmen!$B$9</f>
        <v/>
      </c>
      <c r="S117">
        <f>HYPERLINK(Annahmen!$B$11&amp;"#artikel/div-07-mineral-cast-shower-stool","Stück öffnen")</f>
        <v/>
      </c>
      <c r="T117">
        <f>HYPERLINK("https://crea-glass.ch/product/mineralgusshocker-div-07/","Im Shop")</f>
        <v/>
      </c>
      <c r="U117" t="inlineStr">
        <is>
          <t>Shop-Preis gilt</t>
        </is>
      </c>
    </row>
    <row r="118">
      <c r="A118" t="inlineStr">
        <is>
          <t>120 2760</t>
        </is>
      </c>
      <c r="B118" t="inlineStr">
        <is>
          <t>Zubehör</t>
        </is>
      </c>
      <c r="C118" t="inlineStr">
        <is>
          <t>Handtuchablage Chrom mit Stange</t>
        </is>
      </c>
      <c r="D118" t="inlineStr">
        <is>
          <t>Chrom · Modell 120 2760</t>
        </is>
      </c>
      <c r="E118" t="inlineStr">
        <is>
          <t>verfügbar</t>
        </is>
      </c>
      <c r="F118" t="inlineStr">
        <is>
          <t>Shop-Preis (öffentlich)</t>
        </is>
      </c>
      <c r="G118" s="4" t="n">
        <v>150</v>
      </c>
      <c r="H118" s="1" t="n"/>
      <c r="K118">
        <f>IF(OR(I118="",J118=""),"",ROUND(I118*J118/1000000,2))</f>
        <v/>
      </c>
      <c r="L118" s="1">
        <f>G118</f>
        <v/>
      </c>
      <c r="M118" s="2" t="n"/>
      <c r="N118" s="3">
        <f>IF(OR(G118="",M118=""),"",1-M118/G118)</f>
        <v/>
      </c>
      <c r="O118" t="n">
        <v>0.5</v>
      </c>
      <c r="P118" t="n">
        <v>1</v>
      </c>
      <c r="Q118" s="1">
        <f>O118*Annahmen!$B$9</f>
        <v/>
      </c>
      <c r="R118" s="1">
        <f>P118*Annahmen!$B$9</f>
        <v/>
      </c>
      <c r="S118">
        <f>HYPERLINK(Annahmen!$B$11&amp;"#artikel/120-2760-towel-shelf","Stück öffnen")</f>
        <v/>
      </c>
      <c r="T118">
        <f>HYPERLINK("https://crea-glass.ch/product/handtuchablage-120-2760/","Im Shop")</f>
        <v/>
      </c>
      <c r="U118" t="inlineStr">
        <is>
          <t>Shop-Preis gilt</t>
        </is>
      </c>
    </row>
    <row r="119">
      <c r="A119" t="inlineStr">
        <is>
          <t>Giese Provider</t>
        </is>
      </c>
      <c r="B119" t="inlineStr">
        <is>
          <t>Zubehör</t>
        </is>
      </c>
      <c r="C119" t="inlineStr">
        <is>
          <t>Handtuchhalter Giese Provider, 3-armig</t>
        </is>
      </c>
      <c r="D119" t="inlineStr">
        <is>
          <t>Giese Provider · 3 schwenkbare Arme</t>
        </is>
      </c>
      <c r="E119" t="inlineStr">
        <is>
          <t>verfügbar</t>
        </is>
      </c>
      <c r="F119" t="inlineStr">
        <is>
          <t>Katalog 05/2025 (nicht im Shop)</t>
        </is>
      </c>
      <c r="G119" s="1" t="n">
        <v>300</v>
      </c>
      <c r="H119" s="1" t="n"/>
      <c r="K119">
        <f>IF(OR(I119="",J119=""),"",ROUND(I119*J119/1000000,2))</f>
        <v/>
      </c>
      <c r="L119" s="1">
        <f>IF(G119="","",ROUND(G119*(1-IF(G119&lt;=300,Annahmen!$B$2,IF(G119&lt;=1000,Annahmen!$B$3,IF(G119&lt;=3000,Annahmen!$B$4,Annahmen!$B$5))))/Annahmen!$B$6,0)*Annahmen!$B$6)</f>
        <v/>
      </c>
      <c r="M119" s="2" t="n"/>
      <c r="N119" s="3">
        <f>IF(OR(G119="",M119=""),"",1-M119/G119)</f>
        <v/>
      </c>
      <c r="O119" t="n">
        <v>0.5</v>
      </c>
      <c r="P119" t="n">
        <v>1</v>
      </c>
      <c r="Q119" s="1">
        <f>O119*Annahmen!$B$9</f>
        <v/>
      </c>
      <c r="R119" s="1">
        <f>P119*Annahmen!$B$9</f>
        <v/>
      </c>
      <c r="S119">
        <f>HYPERLINK(Annahmen!$B$11&amp;"#artikel/giese-provider-towel-holder","Stück öffnen")</f>
        <v/>
      </c>
      <c r="T119" t="inlineStr"/>
      <c r="U119" t="inlineStr">
        <is>
          <t>Nicht im Shop. Katalogpreis 05/2025, Vorschlag mit Rabattstufe</t>
        </is>
      </c>
    </row>
    <row r="120">
      <c r="A120" t="inlineStr">
        <is>
          <t>Shelf supports</t>
        </is>
      </c>
      <c r="B120" t="inlineStr">
        <is>
          <t>Zubehör</t>
        </is>
      </c>
      <c r="C120" t="inlineStr">
        <is>
          <t>Tablarträger Chrom, Paar</t>
        </is>
      </c>
      <c r="D120" t="inlineStr">
        <is>
          <t>Paar · 4 cm, 5 cm oder 10 cm · Preis pro Paar</t>
        </is>
      </c>
      <c r="E120" t="inlineStr">
        <is>
          <t>verfügbar</t>
        </is>
      </c>
      <c r="F120" t="inlineStr">
        <is>
          <t>Katalog 05/2025 (nicht im Shop)</t>
        </is>
      </c>
      <c r="G120" s="1" t="n">
        <v>4</v>
      </c>
      <c r="H120" s="1" t="n"/>
      <c r="K120">
        <f>IF(OR(I120="",J120=""),"",ROUND(I120*J120/1000000,2))</f>
        <v/>
      </c>
      <c r="L120" s="1">
        <f>IF(G120="","",ROUND(G120*(1-IF(G120&lt;=300,Annahmen!$B$2,IF(G120&lt;=1000,Annahmen!$B$3,IF(G120&lt;=3000,Annahmen!$B$4,Annahmen!$B$5))))/Annahmen!$B$6,0)*Annahmen!$B$6)</f>
        <v/>
      </c>
      <c r="M120" s="2" t="n"/>
      <c r="N120" s="3">
        <f>IF(OR(G120="",M120=""),"",1-M120/G120)</f>
        <v/>
      </c>
      <c r="O120" t="n">
        <v>0.5</v>
      </c>
      <c r="P120" t="n">
        <v>1</v>
      </c>
      <c r="Q120" s="1">
        <f>O120*Annahmen!$B$9</f>
        <v/>
      </c>
      <c r="R120" s="1">
        <f>P120*Annahmen!$B$9</f>
        <v/>
      </c>
      <c r="S120">
        <f>HYPERLINK(Annahmen!$B$11&amp;"#artikel/shelf-supports-shelf-supports","Stück öffnen")</f>
        <v/>
      </c>
      <c r="T120" t="inlineStr"/>
      <c r="U120" t="inlineStr">
        <is>
          <t>Nicht im Shop. Katalogpreis 05/2025, Vorschlag mit Rabattstufe</t>
        </is>
      </c>
    </row>
    <row r="121">
      <c r="A121" t="inlineStr">
        <is>
          <t>CR-2070</t>
        </is>
      </c>
      <c r="B121" t="inlineStr">
        <is>
          <t>Zubehör</t>
        </is>
      </c>
      <c r="C121" t="inlineStr">
        <is>
          <t>Edelstahlkonsolen poliert CR-2070, Paar</t>
        </is>
      </c>
      <c r="D121" t="inlineStr">
        <is>
          <t>Länge 430/260 mm · poliert · Preis pro Paar</t>
        </is>
      </c>
      <c r="E121" t="inlineStr">
        <is>
          <t>verfügbar</t>
        </is>
      </c>
      <c r="F121" t="inlineStr">
        <is>
          <t>Shop-Preis (öffentlich)</t>
        </is>
      </c>
      <c r="G121" s="4" t="n">
        <v>200</v>
      </c>
      <c r="H121" s="1" t="n"/>
      <c r="K121">
        <f>IF(OR(I121="",J121=""),"",ROUND(I121*J121/1000000,2))</f>
        <v/>
      </c>
      <c r="L121" s="1">
        <f>G121</f>
        <v/>
      </c>
      <c r="M121" s="2" t="n"/>
      <c r="N121" s="3">
        <f>IF(OR(G121="",M121=""),"",1-M121/G121)</f>
        <v/>
      </c>
      <c r="O121" t="n">
        <v>0.5</v>
      </c>
      <c r="P121" t="n">
        <v>1</v>
      </c>
      <c r="Q121" s="1">
        <f>O121*Annahmen!$B$9</f>
        <v/>
      </c>
      <c r="R121" s="1">
        <f>P121*Annahmen!$B$9</f>
        <v/>
      </c>
      <c r="S121">
        <f>HYPERLINK(Annahmen!$B$11&amp;"#artikel/cr-2070-polished-stainless-steel-brackets","Stück öffnen")</f>
        <v/>
      </c>
      <c r="T121">
        <f>HYPERLINK("https://crea-glass.ch/product/edelstahlkonsolen-poliert-cr-2070/","Im Shop")</f>
        <v/>
      </c>
      <c r="U121" t="inlineStr">
        <is>
          <t>Shop-Preis gilt</t>
        </is>
      </c>
    </row>
    <row r="122">
      <c r="A122" t="inlineStr">
        <is>
          <t>Steel brackets</t>
        </is>
      </c>
      <c r="B122" t="inlineStr">
        <is>
          <t>Zubehör</t>
        </is>
      </c>
      <c r="C122" t="inlineStr">
        <is>
          <t>Edelstahlkonsolen, Paar, Chrom oder Schwarz</t>
        </is>
      </c>
      <c r="D122" t="inlineStr">
        <is>
          <t>Chrom oder schwarz · Preis pro Paar</t>
        </is>
      </c>
      <c r="E122" t="inlineStr">
        <is>
          <t>verfügbar</t>
        </is>
      </c>
      <c r="F122" t="inlineStr">
        <is>
          <t>Shop-Preis (öffentlich)</t>
        </is>
      </c>
      <c r="G122" s="4" t="n">
        <v>80</v>
      </c>
      <c r="H122" s="1" t="n"/>
      <c r="K122">
        <f>IF(OR(I122="",J122=""),"",ROUND(I122*J122/1000000,2))</f>
        <v/>
      </c>
      <c r="L122" s="1">
        <f>G122</f>
        <v/>
      </c>
      <c r="M122" s="2" t="n"/>
      <c r="N122" s="3">
        <f>IF(OR(G122="",M122=""),"",1-M122/G122)</f>
        <v/>
      </c>
      <c r="O122" t="n">
        <v>0.5</v>
      </c>
      <c r="P122" t="n">
        <v>1</v>
      </c>
      <c r="Q122" s="1">
        <f>O122*Annahmen!$B$9</f>
        <v/>
      </c>
      <c r="R122" s="1">
        <f>P122*Annahmen!$B$9</f>
        <v/>
      </c>
      <c r="S122">
        <f>HYPERLINK(Annahmen!$B$11&amp;"#artikel/steel-brackets-stainless-steel-brackets","Stück öffnen")</f>
        <v/>
      </c>
      <c r="T122">
        <f>HYPERLINK("https://crea-glass.ch/product/edelstahlkonsolen/","Im Shop")</f>
        <v/>
      </c>
      <c r="U122" t="inlineStr">
        <is>
          <t>Shop-Preis gilt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34" customWidth="1" min="1" max="1"/>
    <col width="44" customWidth="1" min="2" max="2"/>
    <col width="90" customWidth="1" min="3" max="3"/>
  </cols>
  <sheetData>
    <row r="1">
      <c r="A1" s="8" t="inlineStr">
        <is>
          <t>Annahme</t>
        </is>
      </c>
      <c r="B1" s="8" t="inlineStr">
        <is>
          <t>Wert</t>
        </is>
      </c>
      <c r="C1" s="8" t="inlineStr">
        <is>
          <t>Erläuterung</t>
        </is>
      </c>
    </row>
    <row r="2">
      <c r="A2" t="inlineStr">
        <is>
          <t>Rabatt bis CHF 300</t>
        </is>
      </c>
      <c r="B2" s="9" t="n">
        <v>0</v>
      </c>
      <c r="C2" t="inlineStr">
        <is>
          <t>Nur für Stücke OHNE Shop-Preis. Kleinteile: Preis bleibt.</t>
        </is>
      </c>
    </row>
    <row r="3">
      <c r="A3" t="inlineStr">
        <is>
          <t>Rabatt CHF 301–1000</t>
        </is>
      </c>
      <c r="B3" s="9" t="n">
        <v>0.2</v>
      </c>
      <c r="C3" t="inlineStr">
        <is>
          <t>Nur für Stücke ohne Shop-Preis. Vorschlag.</t>
        </is>
      </c>
    </row>
    <row r="4">
      <c r="A4" t="inlineStr">
        <is>
          <t>Rabatt CHF 1001–3000</t>
        </is>
      </c>
      <c r="B4" s="9" t="n">
        <v>0.25</v>
      </c>
      <c r="C4" t="inlineStr">
        <is>
          <t>Nur für Stücke ohne Shop-Preis. Vorschlag.</t>
        </is>
      </c>
    </row>
    <row r="5">
      <c r="A5" t="inlineStr">
        <is>
          <t>Rabatt über CHF 3000</t>
        </is>
      </c>
      <c r="B5" s="9" t="n">
        <v>0.3</v>
      </c>
      <c r="C5" t="inlineStr">
        <is>
          <t>Nur für Stücke ohne Shop-Preis. Vorschlag.</t>
        </is>
      </c>
    </row>
    <row r="6">
      <c r="A6" t="inlineStr">
        <is>
          <t>Rundung auf CHF</t>
        </is>
      </c>
      <c r="B6" s="10" t="n">
        <v>10</v>
      </c>
      <c r="C6" t="inlineStr">
        <is>
          <t>Vorschlagspreis wird auf diesen Betrag gerundet.</t>
        </is>
      </c>
    </row>
    <row r="7">
      <c r="A7" t="inlineStr">
        <is>
          <t>Glasplatten 8 mm, CHF pro m²</t>
        </is>
      </c>
      <c r="B7" s="10" t="n">
        <v>350</v>
      </c>
      <c r="C7" t="inlineStr">
        <is>
          <t>Annahme für dekoratives Strukturglas. Bitte vom Chef bestätigen.</t>
        </is>
      </c>
    </row>
    <row r="8">
      <c r="A8" t="inlineStr">
        <is>
          <t>Glasplatten 10 mm, CHF pro m²</t>
        </is>
      </c>
      <c r="B8" s="10" t="n">
        <v>420</v>
      </c>
      <c r="C8" t="inlineStr">
        <is>
          <t>Annahme. Bitte vom Chef bestätigen.</t>
        </is>
      </c>
    </row>
    <row r="9">
      <c r="A9" t="inlineStr">
        <is>
          <t>Montage CHF pro Stunde</t>
        </is>
      </c>
      <c r="B9" s="10" t="n">
        <v>220</v>
      </c>
      <c r="C9" t="inlineStr">
        <is>
          <t>Team mit 2 Personen, inkl. Werkzeug. Vorgabe.</t>
        </is>
      </c>
    </row>
    <row r="10">
      <c r="A10" t="inlineStr">
        <is>
          <t>Lieferung gratis ab Warenwert CHF</t>
        </is>
      </c>
      <c r="B10" s="10" t="n">
        <v>3000</v>
      </c>
      <c r="C10" t="inlineStr">
        <is>
          <t>Nur Lieferung ohne Montage, Zonen A–C.</t>
        </is>
      </c>
    </row>
    <row r="11">
      <c r="A11" t="inlineStr">
        <is>
          <t>Basis-URL Online-Showroom</t>
        </is>
      </c>
      <c r="B11" s="10" t="inlineStr">
        <is>
          <t>https://higorvibecode.github.io/aktioncrea/</t>
        </is>
      </c>
      <c r="C11" t="inlineStr">
        <is>
          <t>Für die Links pro Stück. Anpassen, wenn die Seite unter einer anderen Adresse läuft.</t>
        </is>
      </c>
    </row>
    <row r="12">
      <c r="A12" t="inlineStr">
        <is>
          <t>MwSt</t>
        </is>
      </c>
      <c r="B12" s="10" t="inlineStr">
        <is>
          <t>exkl.</t>
        </is>
      </c>
      <c r="C12" t="inlineStr">
        <is>
          <t>Der Crea-Glass Shop weist alle Preise exkl. MwSt aus. Der Online-Showroom übernimmt das. Hinweis: Für Privatkunden verlangt die Preisbekanntgabeverordnung (PBV) Preise inkl. MwSt. Bitte mit dem Chef klären.</t>
        </is>
      </c>
    </row>
    <row r="14">
      <c r="A14" t="inlineStr">
        <is>
          <t>Quelle der Shop-Preise: crea-glass.ch/shop (Fundgrube), gelesen am 30.10.2026. 80 der 121 Stücke haben dort einen Preis.</t>
        </is>
      </c>
    </row>
    <row r="15">
      <c r="A15" t="inlineStr">
        <is>
          <t>Gelbe Zellen sind Entscheidungen. Grüne Zellen sind bereits öffentliche Shop-Preise.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66" customWidth="1" min="3" max="3"/>
    <col width="26" customWidth="1" min="4" max="4"/>
    <col width="24" customWidth="1" min="5" max="5"/>
    <col width="40" customWidth="1" min="6" max="6"/>
  </cols>
  <sheetData>
    <row r="1">
      <c r="A1" s="8" t="inlineStr">
        <is>
          <t>Zone</t>
        </is>
      </c>
      <c r="B1" s="8" t="inlineStr">
        <is>
          <t>Distanz ab Werk (Strasse)</t>
        </is>
      </c>
      <c r="C1" s="8" t="inlineStr">
        <is>
          <t>Beispielorte</t>
        </is>
      </c>
      <c r="D1" s="8" t="inlineStr">
        <is>
          <t>Lieferung ohne Montage CHF</t>
        </is>
      </c>
      <c r="E1" s="8" t="inlineStr">
        <is>
          <t>Anfahrt bei Montage CHF</t>
        </is>
      </c>
      <c r="F1" s="8" t="inlineStr">
        <is>
          <t>Regel</t>
        </is>
      </c>
    </row>
    <row r="2">
      <c r="A2" t="inlineStr">
        <is>
          <t>A</t>
        </is>
      </c>
      <c r="B2" t="inlineStr">
        <is>
          <t>bis 15 km</t>
        </is>
      </c>
      <c r="C2" t="inlineStr">
        <is>
          <t>Interlaken, Matten, Wilderswil, Bönigen, Ringgenberg, Beatenberg</t>
        </is>
      </c>
      <c r="D2" s="10" t="n">
        <v>90</v>
      </c>
      <c r="E2" s="10" t="n">
        <v>0</v>
      </c>
      <c r="F2" t="inlineStr">
        <is>
          <t>Lieferung gratis ab CHF 3000 Warenwert</t>
        </is>
      </c>
    </row>
    <row r="3">
      <c r="A3" t="inlineStr">
        <is>
          <t>B</t>
        </is>
      </c>
      <c r="B3" t="inlineStr">
        <is>
          <t>bis 40 km</t>
        </is>
      </c>
      <c r="C3" t="inlineStr">
        <is>
          <t>Thun, Spiez, Brienz, Meiringen, Grindelwald, Lauterbrunnen, Frutigen</t>
        </is>
      </c>
      <c r="D3" s="10" t="n">
        <v>160</v>
      </c>
      <c r="E3" s="10" t="n">
        <v>120</v>
      </c>
      <c r="F3" t="inlineStr">
        <is>
          <t>Lieferung gratis ab CHF 3000 Warenwert</t>
        </is>
      </c>
    </row>
    <row r="4">
      <c r="A4" t="inlineStr">
        <is>
          <t>C</t>
        </is>
      </c>
      <c r="B4" t="inlineStr">
        <is>
          <t>bis 80 km</t>
        </is>
      </c>
      <c r="C4" t="inlineStr">
        <is>
          <t>Bern, Burgdorf, Luzern, Zweisimmen, Gstaad</t>
        </is>
      </c>
      <c r="D4" s="10" t="n">
        <v>260</v>
      </c>
      <c r="E4" s="10" t="n">
        <v>240</v>
      </c>
      <c r="F4" t="inlineStr">
        <is>
          <t>Lieferung gratis ab CHF 3000 Warenwert</t>
        </is>
      </c>
    </row>
    <row r="5">
      <c r="A5" t="inlineStr">
        <is>
          <t>D</t>
        </is>
      </c>
      <c r="B5" t="inlineStr">
        <is>
          <t>über 80 km</t>
        </is>
      </c>
      <c r="C5" t="inlineStr">
        <is>
          <t>Zürich, Basel, Romandie, Wallis</t>
        </is>
      </c>
      <c r="D5" s="10" t="inlineStr">
        <is>
          <t>Offerte</t>
        </is>
      </c>
      <c r="E5" s="10" t="inlineStr">
        <is>
          <t>Offerte</t>
        </is>
      </c>
      <c r="F5" t="inlineStr">
        <is>
          <t>Individuell offerieren</t>
        </is>
      </c>
    </row>
    <row r="7">
      <c r="A7" s="11" t="inlineStr">
        <is>
          <t>Heutige Regel im Crea-Glass Shop (Produktseite, 30.10.2026)</t>
        </is>
      </c>
    </row>
    <row r="8">
      <c r="A8" t="inlineStr">
        <is>
          <t>«Kann in unserer Ausstellung besichtigt und abgeholt werden. Lieferung und Montage auf Anfrage. Preise exkl. MwSt.»</t>
        </is>
      </c>
    </row>
    <row r="9">
      <c r="A9" t="inlineStr">
        <is>
          <t>Das heisst: heute gibt es keinen Tarif. Jede Anfrage wird einzeln beantwortet. Der Vorschlag unten macht daraus ein Produkt mit festem Richtpreis.</t>
        </is>
      </c>
    </row>
    <row r="11">
      <c r="A11" s="11" t="inlineStr">
        <is>
          <t>Grundsätze (Vorschlag)</t>
        </is>
      </c>
    </row>
    <row r="12">
      <c r="A12" t="inlineStr">
        <is>
          <t>Abholung ab Werk Unterseen: kostenlos.</t>
        </is>
      </c>
    </row>
    <row r="13">
      <c r="A13" t="inlineStr">
        <is>
          <t>Lieferung ohne Montage: Pauschale pro Auftrag nach Zone. Gratis ab CHF 3000 Warenwert in den Zonen A–C.</t>
        </is>
      </c>
    </row>
    <row r="14">
      <c r="A14" t="inlineStr">
        <is>
          <t>Lieferung mit Montage: Lieferung immer inbegriffen. Anfahrtspauschale nach Zone plus Montagestunden × CHF 220.</t>
        </is>
      </c>
    </row>
    <row r="15">
      <c r="A15" t="inlineStr">
        <is>
          <t>Kleines Zubehör (Siphon, Konsolen, Tablarträger, Handtuchhalter): Postversand CHF 15.</t>
        </is>
      </c>
    </row>
    <row r="16">
      <c r="A16" t="inlineStr">
        <is>
          <t>Montagezeit: Fenster min–max pro Stück, siehe Blatt "Montagezeiten".</t>
        </is>
      </c>
    </row>
    <row r="17">
      <c r="A17" t="inlineStr">
        <is>
          <t>Sanitär- und Elektroanschlüsse: durch den Installateur des Kunden oder nach Absprache.</t>
        </is>
      </c>
    </row>
    <row r="18">
      <c r="A18" t="inlineStr">
        <is>
          <t>Alle Beträge sind Richtpreise. Crea-Glass bestätigt vor Auftrag.</t>
        </is>
      </c>
    </row>
    <row r="20">
      <c r="A20" s="11" t="inlineStr">
        <is>
          <t>Übliche Praxis in der Schweiz (Erfahrungswerte)</t>
        </is>
      </c>
    </row>
    <row r="21">
      <c r="A21" t="inlineStr">
        <is>
          <t>Handwerksbetriebe verrechnen Anfahrt als Zonenpauschale oder als Fahrzeit zum Stundensatz. Zonenpauschalen sind für Kunden verständlicher.</t>
        </is>
      </c>
    </row>
    <row r="22">
      <c r="A22" t="inlineStr">
        <is>
          <t>Sanitär-Ausstellungen liefern grössere Stücke meist mit Pauschale pro Auftrag; viele verzichten auf die Liefergebühr ab einem Warenwert (häufig CHF 2000–5000).</t>
        </is>
      </c>
    </row>
    <row r="23">
      <c r="A23" t="inlineStr">
        <is>
          <t>Montage-Stundensätze für ein Zweierteam im Glaserhandwerk liegen typischerweise bei CHF 180–260. CHF 220 liegt im Rahmen.</t>
        </is>
      </c>
    </row>
    <row r="24">
      <c r="A24" t="inlineStr">
        <is>
          <t>Empfehlung: Gratislieferung nur ohne Montage (als Kaufanreiz) und nur bis Zone C.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0" customWidth="1" min="4" max="4"/>
    <col width="10" customWidth="1" min="5" max="5"/>
    <col width="54" customWidth="1" min="6" max="6"/>
    <col width="40" customWidth="1" min="7" max="7"/>
  </cols>
  <sheetData>
    <row r="1">
      <c r="A1" s="8" t="inlineStr">
        <is>
          <t>Produktgruppe</t>
        </is>
      </c>
      <c r="B1" s="8" t="inlineStr">
        <is>
          <t>Stunden min</t>
        </is>
      </c>
      <c r="C1" s="8" t="inlineStr">
        <is>
          <t>Stunden max</t>
        </is>
      </c>
      <c r="D1" s="8" t="inlineStr">
        <is>
          <t>CHF min</t>
        </is>
      </c>
      <c r="E1" s="8" t="inlineStr">
        <is>
          <t>CHF max</t>
        </is>
      </c>
      <c r="F1" s="8" t="inlineStr">
        <is>
          <t>Umfang</t>
        </is>
      </c>
      <c r="G1" s="8" t="inlineStr">
        <is>
          <t>Nicht enthalten</t>
        </is>
      </c>
    </row>
    <row r="2">
      <c r="A2" t="inlineStr">
        <is>
          <t>Glaswaschtisch ohne Möbel</t>
        </is>
      </c>
      <c r="B2" s="10" t="n">
        <v>1.5</v>
      </c>
      <c r="C2" s="10" t="n">
        <v>2.5</v>
      </c>
      <c r="D2">
        <f>B2*Annahmen!$B$9</f>
        <v/>
      </c>
      <c r="E2">
        <f>C2*Annahmen!$B$9</f>
        <v/>
      </c>
      <c r="F2" t="inlineStr">
        <is>
          <t>Konsolen setzen, Waschtisch montieren, ausrichten</t>
        </is>
      </c>
      <c r="G2" t="inlineStr">
        <is>
          <t>Wasseranschluss (Sanitär)</t>
        </is>
      </c>
    </row>
    <row r="3">
      <c r="A3" t="inlineStr">
        <is>
          <t>Glaswaschtisch mit Möbel / Komplettset</t>
        </is>
      </c>
      <c r="B3" s="10" t="n">
        <v>3</v>
      </c>
      <c r="C3" s="10" t="n">
        <v>4</v>
      </c>
      <c r="D3">
        <f>B3*Annahmen!$B$9</f>
        <v/>
      </c>
      <c r="E3">
        <f>C3*Annahmen!$B$9</f>
        <v/>
      </c>
      <c r="F3" t="inlineStr">
        <is>
          <t>Möbel stellen, Waschtisch montieren, LED anschliessen</t>
        </is>
      </c>
      <c r="G3" t="inlineStr">
        <is>
          <t>Wasseranschluss (Sanitär), Stromzuleitung</t>
        </is>
      </c>
    </row>
    <row r="4">
      <c r="A4" t="inlineStr">
        <is>
          <t>Dusche komplett</t>
        </is>
      </c>
      <c r="B4" s="10" t="n">
        <v>5</v>
      </c>
      <c r="C4" s="10" t="n">
        <v>8</v>
      </c>
      <c r="D4">
        <f>B4*Annahmen!$B$9</f>
        <v/>
      </c>
      <c r="E4">
        <f>C4*Annahmen!$B$9</f>
        <v/>
      </c>
      <c r="F4" t="inlineStr">
        <is>
          <t>Rückwände, Trennwände, Türen, Beschläge, Abdichtung Glas</t>
        </is>
      </c>
      <c r="G4" t="inlineStr">
        <is>
          <t>Armaturen, Bodenabdichtung, Sanitär</t>
        </is>
      </c>
    </row>
    <row r="5">
      <c r="A5" t="inlineStr">
        <is>
          <t>Duschtüre (Falt/Schiebe)</t>
        </is>
      </c>
      <c r="B5" s="10" t="n">
        <v>3</v>
      </c>
      <c r="C5" s="10" t="n">
        <v>4</v>
      </c>
      <c r="D5">
        <f>B5*Annahmen!$B$9</f>
        <v/>
      </c>
      <c r="E5">
        <f>C5*Annahmen!$B$9</f>
        <v/>
      </c>
      <c r="F5" t="inlineStr">
        <is>
          <t>Profile, Türe, Beschläge, Dichtungen</t>
        </is>
      </c>
      <c r="G5" t="inlineStr">
        <is>
          <t>Rückwände, Sanitär</t>
        </is>
      </c>
    </row>
    <row r="6">
      <c r="A6" t="inlineStr">
        <is>
          <t>Glastüre</t>
        </is>
      </c>
      <c r="B6" s="10" t="n">
        <v>2</v>
      </c>
      <c r="C6" s="10" t="n">
        <v>3</v>
      </c>
      <c r="D6">
        <f>B6*Annahmen!$B$9</f>
        <v/>
      </c>
      <c r="E6">
        <f>C6*Annahmen!$B$9</f>
        <v/>
      </c>
      <c r="F6" t="inlineStr">
        <is>
          <t>Beschläge, Türe einhängen, einstellen</t>
        </is>
      </c>
      <c r="G6" t="inlineStr">
        <is>
          <t>Zarge/Anpassung Mauerwerk</t>
        </is>
      </c>
    </row>
    <row r="7">
      <c r="A7" t="inlineStr">
        <is>
          <t>Glastrennwand</t>
        </is>
      </c>
      <c r="B7" s="10" t="n">
        <v>2</v>
      </c>
      <c r="C7" s="10" t="n">
        <v>4</v>
      </c>
      <c r="D7">
        <f>B7*Annahmen!$B$9</f>
        <v/>
      </c>
      <c r="E7">
        <f>C7*Annahmen!$B$9</f>
        <v/>
      </c>
      <c r="F7" t="inlineStr">
        <is>
          <t>Profile oder Punkthalter, Glas setzen, abdichten</t>
        </is>
      </c>
      <c r="G7" t="inlineStr">
        <is>
          <t>Bauliche Anpassungen</t>
        </is>
      </c>
    </row>
    <row r="8">
      <c r="A8" t="inlineStr">
        <is>
          <t>Neue Glasplatte (Einbau nach Aufmass)</t>
        </is>
      </c>
      <c r="B8" s="10" t="n">
        <v>2</v>
      </c>
      <c r="C8" s="10" t="n">
        <v>4</v>
      </c>
      <c r="D8">
        <f>B8*Annahmen!$B$9</f>
        <v/>
      </c>
      <c r="E8">
        <f>C8*Annahmen!$B$9</f>
        <v/>
      </c>
      <c r="F8" t="inlineStr">
        <is>
          <t>Aufmass, Halterung, Glas setzen</t>
        </is>
      </c>
      <c r="G8" t="inlineStr">
        <is>
          <t>Beschläge je nach Einsatz</t>
        </is>
      </c>
    </row>
    <row r="9">
      <c r="A9" t="inlineStr">
        <is>
          <t>Spiegel ohne LED</t>
        </is>
      </c>
      <c r="B9" s="10" t="n">
        <v>1</v>
      </c>
      <c r="C9" s="10" t="n">
        <v>1.5</v>
      </c>
      <c r="D9">
        <f>B9*Annahmen!$B$9</f>
        <v/>
      </c>
      <c r="E9">
        <f>C9*Annahmen!$B$9</f>
        <v/>
      </c>
      <c r="F9" t="inlineStr">
        <is>
          <t>Befestigung, ausrichten</t>
        </is>
      </c>
      <c r="G9" t="inlineStr"/>
    </row>
    <row r="10">
      <c r="A10" t="inlineStr">
        <is>
          <t>Spiegel mit LED</t>
        </is>
      </c>
      <c r="B10" s="10" t="n">
        <v>1.5</v>
      </c>
      <c r="C10" s="10" t="n">
        <v>2</v>
      </c>
      <c r="D10">
        <f>B10*Annahmen!$B$9</f>
        <v/>
      </c>
      <c r="E10">
        <f>C10*Annahmen!$B$9</f>
        <v/>
      </c>
      <c r="F10" t="inlineStr">
        <is>
          <t>Befestigung, Anschluss an vorhandene Zuleitung</t>
        </is>
      </c>
      <c r="G10" t="inlineStr">
        <is>
          <t>Stromzuleitung (Elektriker)</t>
        </is>
      </c>
    </row>
    <row r="11">
      <c r="A11" t="inlineStr">
        <is>
          <t>Glasbild</t>
        </is>
      </c>
      <c r="B11" s="10" t="n">
        <v>0.5</v>
      </c>
      <c r="C11" s="10" t="n">
        <v>1</v>
      </c>
      <c r="D11">
        <f>B11*Annahmen!$B$9</f>
        <v/>
      </c>
      <c r="E11">
        <f>C11*Annahmen!$B$9</f>
        <v/>
      </c>
      <c r="F11" t="inlineStr">
        <is>
          <t>Aufhängung, ausrichten</t>
        </is>
      </c>
      <c r="G11" t="inlineStr">
        <is>
          <t>Stromzuleitung bei LED</t>
        </is>
      </c>
    </row>
    <row r="12">
      <c r="A12" t="inlineStr">
        <is>
          <t>Tisch / Möbel</t>
        </is>
      </c>
      <c r="B12" s="10" t="n">
        <v>1</v>
      </c>
      <c r="C12" s="10" t="n">
        <v>2</v>
      </c>
      <c r="D12">
        <f>B12*Annahmen!$B$9</f>
        <v/>
      </c>
      <c r="E12">
        <f>C12*Annahmen!$B$9</f>
        <v/>
      </c>
      <c r="F12" t="inlineStr">
        <is>
          <t>Lieferung, aufstellen, ausrichten</t>
        </is>
      </c>
      <c r="G12" t="inlineStr"/>
    </row>
    <row r="13">
      <c r="A13" t="inlineStr">
        <is>
          <t>Bartheke</t>
        </is>
      </c>
      <c r="B13" s="10" t="n">
        <v>2</v>
      </c>
      <c r="C13" s="10" t="n">
        <v>3</v>
      </c>
      <c r="D13">
        <f>B13*Annahmen!$B$9</f>
        <v/>
      </c>
      <c r="E13">
        <f>C13*Annahmen!$B$9</f>
        <v/>
      </c>
      <c r="F13" t="inlineStr">
        <is>
          <t>Aufstellen, Glasplatte montieren</t>
        </is>
      </c>
      <c r="G13" t="inlineStr"/>
    </row>
    <row r="14">
      <c r="A14" t="inlineStr">
        <is>
          <t>Zubehör</t>
        </is>
      </c>
      <c r="B14" s="10" t="n">
        <v>0.5</v>
      </c>
      <c r="C14" s="10" t="n">
        <v>1</v>
      </c>
      <c r="D14">
        <f>B14*Annahmen!$B$9</f>
        <v/>
      </c>
      <c r="E14">
        <f>C14*Annahmen!$B$9</f>
        <v/>
      </c>
      <c r="F14" t="inlineStr">
        <is>
          <t>Montage an Wand oder Möbel</t>
        </is>
      </c>
      <c r="G14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6" customWidth="1" min="4" max="4"/>
    <col width="80" customWidth="1" min="5" max="5"/>
  </cols>
  <sheetData>
    <row r="1">
      <c r="A1" s="8" t="inlineStr">
        <is>
          <t>Code</t>
        </is>
      </c>
      <c r="B1" s="8" t="inlineStr">
        <is>
          <t>Website vorher CHF</t>
        </is>
      </c>
      <c r="C1" s="8" t="inlineStr">
        <is>
          <t>Shop CHF</t>
        </is>
      </c>
      <c r="D1" s="8" t="inlineStr">
        <is>
          <t>Shop regulär CHF</t>
        </is>
      </c>
      <c r="E1" s="8" t="inlineStr">
        <is>
          <t>Was geändert wurde</t>
        </is>
      </c>
    </row>
    <row r="2">
      <c r="A2" t="inlineStr">
        <is>
          <t>BA-RD</t>
        </is>
      </c>
      <c r="B2" t="n">
        <v>4000</v>
      </c>
      <c r="C2" t="n">
        <v>5000</v>
      </c>
      <c r="D2" t="n">
        <v>12111</v>
      </c>
      <c r="E2" t="inlineStr">
        <is>
          <t>Website behält Novemberpreis 4000. Shop zeigt 5000. Klären.</t>
        </is>
      </c>
    </row>
    <row r="3">
      <c r="A3" t="inlineStr">
        <is>
          <t>BA-ED</t>
        </is>
      </c>
      <c r="B3" t="n">
        <v>3000</v>
      </c>
      <c r="C3" t="n">
        <v>2200</v>
      </c>
      <c r="E3" t="inlineStr">
        <is>
          <t>Shop: nur noch Rückwände und Boden, Türen verkauft. Titel und Text angepasst.</t>
        </is>
      </c>
    </row>
    <row r="4">
      <c r="A4" t="inlineStr">
        <is>
          <t>LA 26</t>
        </is>
      </c>
      <c r="B4" t="n">
        <v>1500</v>
      </c>
      <c r="C4" t="n">
        <v>900</v>
      </c>
      <c r="D4" t="n">
        <v>1500</v>
      </c>
      <c r="E4" t="inlineStr">
        <is>
          <t>Shop-Aktion übernommen</t>
        </is>
      </c>
    </row>
    <row r="5">
      <c r="A5" t="inlineStr">
        <is>
          <t>LA 36</t>
        </is>
      </c>
      <c r="B5" t="n">
        <v>1200</v>
      </c>
      <c r="C5" t="n">
        <v>800</v>
      </c>
      <c r="D5" t="n">
        <v>1200</v>
      </c>
      <c r="E5" t="inlineStr">
        <is>
          <t>Shop-Aktion übernommen</t>
        </is>
      </c>
    </row>
    <row r="6">
      <c r="A6" t="inlineStr">
        <is>
          <t>LA 40</t>
        </is>
      </c>
      <c r="B6" t="n">
        <v>1300</v>
      </c>
      <c r="C6" t="n">
        <v>1000</v>
      </c>
      <c r="E6" t="inlineStr">
        <is>
          <t>Shop-Preis übernommen</t>
        </is>
      </c>
    </row>
    <row r="7">
      <c r="A7" t="inlineStr">
        <is>
          <t>DU 03</t>
        </is>
      </c>
      <c r="B7" t="n">
        <v>2700</v>
      </c>
      <c r="C7" t="n">
        <v>3000</v>
      </c>
      <c r="E7" t="inlineStr">
        <is>
          <t>Shop-Preis übernommen (höher)</t>
        </is>
      </c>
    </row>
    <row r="8">
      <c r="A8" t="inlineStr">
        <is>
          <t>DU 08</t>
        </is>
      </c>
      <c r="B8" t="n">
        <v>2700</v>
      </c>
      <c r="C8" t="n">
        <v>3000</v>
      </c>
      <c r="E8" t="inlineStr">
        <is>
          <t>Shop-Preis übernommen (höher)</t>
        </is>
      </c>
    </row>
    <row r="9">
      <c r="A9" t="inlineStr">
        <is>
          <t>TI 07</t>
        </is>
      </c>
      <c r="B9" t="n">
        <v>1000</v>
      </c>
      <c r="C9" t="n">
        <v>2300</v>
      </c>
      <c r="E9" t="inlineStr">
        <is>
          <t>Shop verkauft Komplettset mit Gestell und Stühlen</t>
        </is>
      </c>
    </row>
    <row r="10">
      <c r="A10" t="inlineStr">
        <is>
          <t>TW 11</t>
        </is>
      </c>
      <c r="B10" t="n">
        <v>300</v>
      </c>
      <c r="C10" t="n">
        <v>500</v>
      </c>
      <c r="E10" t="inlineStr">
        <is>
          <t>Shop-Preis übernommen (höher)</t>
        </is>
      </c>
    </row>
    <row r="11">
      <c r="A11" t="inlineStr">
        <is>
          <t>DIV 15</t>
        </is>
      </c>
      <c r="B11" t="n">
        <v>40</v>
      </c>
      <c r="C11" t="n">
        <v>50</v>
      </c>
      <c r="E11" t="inlineStr">
        <is>
          <t>Siphon schwarz: Preise waren vertauscht</t>
        </is>
      </c>
    </row>
    <row r="12">
      <c r="A12" t="inlineStr">
        <is>
          <t>DIV 16</t>
        </is>
      </c>
      <c r="B12" t="n">
        <v>50</v>
      </c>
      <c r="C12" t="n">
        <v>40</v>
      </c>
      <c r="E12" t="inlineStr">
        <is>
          <t>Siphon chrom: Preise waren vertauscht</t>
        </is>
      </c>
    </row>
    <row r="14">
      <c r="A14" t="inlineStr">
        <is>
          <t>Im Shop, aber nicht auf der Website: LA 38 (CHF 1300), TI 18 Glasplatte für Tisch (CHF 100), «Glastür» ohne Code (CHF 300).</t>
        </is>
      </c>
    </row>
    <row r="15">
      <c r="A15" t="inlineStr">
        <is>
          <t>Auf der Website, aber nicht im Shop: 20 neue Glasplatten, BA-06, BA-M4, BA-SD, BA-P, LA 57, LA 59, SP 16, SP 17, TI 01, TI 02, TW 12, TÜ 15 + TW 15, Giese Provider, Tablarträger.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2026-10-30T21:47:51Z</dcterms:created>
  <dcterms:modified xmlns:dcterms="http://purl.org/dc/terms/" xmlns:xsi="http://www.w3.org/2001/XMLSchema-instance" xsi:type="dcterms:W3CDTF">2026-10-30T21:47:51Z</dcterms:modified>
</cp:coreProperties>
</file>
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vorschlag" sheetId="1" state="visible" r:id="rId1"/>
    <sheet xmlns:r="http://schemas.openxmlformats.org/officeDocument/2006/relationships" name="Annahmen" sheetId="2" state="visible" r:id="rId2"/>
    <sheet xmlns:r="http://schemas.openxmlformats.org/officeDocument/2006/relationships" name="Lieferung &amp; Montage" sheetId="3" state="visible" r:id="rId3"/>
    <sheet xmlns:r="http://schemas.openxmlformats.org/officeDocument/2006/relationships" name="Montagezeit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3030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3" fontId="0" fillId="0" borderId="0" pivotButton="0" quotePrefix="0" xfId="0"/>
    <xf numFmtId="3" fontId="0" fillId="3" borderId="0" pivotButton="0" quotePrefix="0" xfId="0"/>
    <xf numFmtId="9" fontId="0" fillId="0" borderId="0" pivotButton="0" quotePrefix="0" xfId="0"/>
    <xf numFmtId="0" fontId="0" fillId="4" borderId="0" pivotButton="0" quotePrefix="0" xfId="0"/>
    <xf numFmtId="3" fontId="0" fillId="4" borderId="0" pivotButton="0" quotePrefix="0" xfId="0"/>
    <xf numFmtId="9" fontId="0" fillId="4" borderId="0" pivotButton="0" quotePrefix="0" xfId="0"/>
    <xf numFmtId="0" fontId="1" fillId="2" borderId="0" pivotButton="0" quotePrefix="0" xfId="0"/>
    <xf numFmtId="9" fontId="0" fillId="3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reise" displayName="Preise" ref="A1:S122" headerRowCount="1">
  <autoFilter ref="A1:S122"/>
  <tableColumns count="19">
    <tableColumn id="1" name="Code"/>
    <tableColumn id="2" name="Kategorie"/>
    <tableColumn id="3" name="Titel"/>
    <tableColumn id="4" name="Details"/>
    <tableColumn id="5" name="Status"/>
    <tableColumn id="6" name="Preisbasis"/>
    <tableColumn id="7" name="Referenzpreis CHF"/>
    <tableColumn id="8" name="Breite mm"/>
    <tableColumn id="9" name="Höhe mm"/>
    <tableColumn id="10" name="Fläche m²"/>
    <tableColumn id="11" name="Vorschlag CHF"/>
    <tableColumn id="12" name="Entscheid CHF"/>
    <tableColumn id="13" name="Rabatt effektiv"/>
    <tableColumn id="14" name="Montage h min"/>
    <tableColumn id="15" name="Montage h max"/>
    <tableColumn id="16" name="Montage CHF min"/>
    <tableColumn id="17" name="Montage CHF max"/>
    <tableColumn id="18" name="Link"/>
    <tableColumn id="19" name="Bemerkun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46" customWidth="1" min="4" max="4"/>
    <col width="10" customWidth="1" min="5" max="5"/>
    <col width="26" customWidth="1" min="6" max="6"/>
    <col width="14" customWidth="1" min="7" max="7"/>
    <col width="10" customWidth="1" min="8" max="8"/>
    <col width="10" customWidth="1" min="9" max="9"/>
    <col width="10" customWidth="1" min="10" max="10"/>
    <col width="13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34" customWidth="1" min="19" max="19"/>
  </cols>
  <sheetData>
    <row r="1">
      <c r="A1" t="inlineStr">
        <is>
          <t>Code</t>
        </is>
      </c>
      <c r="B1" t="inlineStr">
        <is>
          <t>Kategorie</t>
        </is>
      </c>
      <c r="C1" t="inlineStr">
        <is>
          <t>Titel</t>
        </is>
      </c>
      <c r="D1" t="inlineStr">
        <is>
          <t>Details</t>
        </is>
      </c>
      <c r="E1" t="inlineStr">
        <is>
          <t>Status</t>
        </is>
      </c>
      <c r="F1" t="inlineStr">
        <is>
          <t>Preisbasis</t>
        </is>
      </c>
      <c r="G1" t="inlineStr">
        <is>
          <t>Referenzpreis CHF</t>
        </is>
      </c>
      <c r="H1" t="inlineStr">
        <is>
          <t>Breite mm</t>
        </is>
      </c>
      <c r="I1" t="inlineStr">
        <is>
          <t>Höhe mm</t>
        </is>
      </c>
      <c r="J1" t="inlineStr">
        <is>
          <t>Fläche m²</t>
        </is>
      </c>
      <c r="K1" t="inlineStr">
        <is>
          <t>Vorschlag CHF</t>
        </is>
      </c>
      <c r="L1" t="inlineStr">
        <is>
          <t>Entscheid CHF</t>
        </is>
      </c>
      <c r="M1" t="inlineStr">
        <is>
          <t>Rabatt effektiv</t>
        </is>
      </c>
      <c r="N1" t="inlineStr">
        <is>
          <t>Montage h min</t>
        </is>
      </c>
      <c r="O1" t="inlineStr">
        <is>
          <t>Montage h max</t>
        </is>
      </c>
      <c r="P1" t="inlineStr">
        <is>
          <t>Montage CHF min</t>
        </is>
      </c>
      <c r="Q1" t="inlineStr">
        <is>
          <t>Montage CHF max</t>
        </is>
      </c>
      <c r="R1" t="inlineStr">
        <is>
          <t>Link</t>
        </is>
      </c>
      <c r="S1" t="inlineStr">
        <is>
          <t>Bemerkung</t>
        </is>
      </c>
    </row>
    <row r="2">
      <c r="A2" t="inlineStr">
        <is>
          <t>GB 01</t>
        </is>
      </c>
      <c r="B2" t="inlineStr">
        <is>
          <t>Neue Glasplatten</t>
        </is>
      </c>
      <c r="C2" t="inlineStr">
        <is>
          <t>Gebogenes Reliefglas mit Wellenringen</t>
        </is>
      </c>
      <c r="D2" t="inlineStr">
        <is>
          <t>Gebogen · Masse auf Anfrage · 10 mm Glas</t>
        </is>
      </c>
      <c r="E2" t="inlineStr">
        <is>
          <t>verfügbar</t>
        </is>
      </c>
      <c r="F2" t="inlineStr">
        <is>
          <t>Preis auf Anfrage</t>
        </is>
      </c>
      <c r="G2" s="1" t="n"/>
      <c r="J2">
        <f>IF(OR(H2="",I2=""),"",ROUND(H2*I2/1000000,2))</f>
        <v/>
      </c>
      <c r="K2" s="1">
        <f>IF(J2="","",ROUND(J2*Annahmen!$B$8/Annahmen!$B$6,0)*Annahmen!$B$6)</f>
        <v/>
      </c>
      <c r="L2" s="2" t="n"/>
      <c r="M2" s="3">
        <f>IF(OR(G2="",L2=""),"",1-L2/G2)</f>
        <v/>
      </c>
      <c r="N2" t="n">
        <v>2</v>
      </c>
      <c r="O2" t="n">
        <v>4</v>
      </c>
      <c r="P2" s="1">
        <f>N2*Annahmen!$B$9</f>
        <v/>
      </c>
      <c r="Q2" s="1">
        <f>O2*Annahmen!$B$9</f>
        <v/>
      </c>
      <c r="R2">
        <f>HYPERLINK(Annahmen!$B$11&amp;"#artikel/gb-01","Stück öffnen")</f>
        <v/>
      </c>
      <c r="S2" t="inlineStr">
        <is>
          <t>Masse fehlen – Preis manuell</t>
        </is>
      </c>
    </row>
    <row r="3">
      <c r="A3" t="inlineStr">
        <is>
          <t>GB 02</t>
        </is>
      </c>
      <c r="B3" t="inlineStr">
        <is>
          <t>Neue Glasplatten</t>
        </is>
      </c>
      <c r="C3" t="inlineStr">
        <is>
          <t>Gebogenes Reliefglas mit Palmenmotiv</t>
        </is>
      </c>
      <c r="D3" t="inlineStr">
        <is>
          <t>Gebogen · Masse auf Anfrage · 10 mm Glas</t>
        </is>
      </c>
      <c r="E3" t="inlineStr">
        <is>
          <t>verfügbar</t>
        </is>
      </c>
      <c r="F3" t="inlineStr">
        <is>
          <t>Preis auf Anfrage</t>
        </is>
      </c>
      <c r="G3" s="1" t="n"/>
      <c r="J3">
        <f>IF(OR(H3="",I3=""),"",ROUND(H3*I3/1000000,2))</f>
        <v/>
      </c>
      <c r="K3" s="1">
        <f>IF(J3="","",ROUND(J3*Annahmen!$B$8/Annahmen!$B$6,0)*Annahmen!$B$6)</f>
        <v/>
      </c>
      <c r="L3" s="2" t="n"/>
      <c r="M3" s="3">
        <f>IF(OR(G3="",L3=""),"",1-L3/G3)</f>
        <v/>
      </c>
      <c r="N3" t="n">
        <v>2</v>
      </c>
      <c r="O3" t="n">
        <v>4</v>
      </c>
      <c r="P3" s="1">
        <f>N3*Annahmen!$B$9</f>
        <v/>
      </c>
      <c r="Q3" s="1">
        <f>O3*Annahmen!$B$9</f>
        <v/>
      </c>
      <c r="R3">
        <f>HYPERLINK(Annahmen!$B$11&amp;"#artikel/gb-02","Stück öffnen")</f>
        <v/>
      </c>
      <c r="S3" t="inlineStr">
        <is>
          <t>Masse fehlen – Preis manuell</t>
        </is>
      </c>
    </row>
    <row r="4">
      <c r="A4" t="inlineStr">
        <is>
          <t>GB 03</t>
        </is>
      </c>
      <c r="B4" t="inlineStr">
        <is>
          <t>Neue Glasplatten</t>
        </is>
      </c>
      <c r="C4" t="inlineStr">
        <is>
          <t>Reliefglas mit Zellstruktur und geschwungener Kante</t>
        </is>
      </c>
      <c r="D4" t="inlineStr">
        <is>
          <t>Freie Oberkante · Masse auf Anfrage · 10 mm Glas</t>
        </is>
      </c>
      <c r="E4" t="inlineStr">
        <is>
          <t>verfügbar</t>
        </is>
      </c>
      <c r="F4" t="inlineStr">
        <is>
          <t>Preis auf Anfrage</t>
        </is>
      </c>
      <c r="G4" s="1" t="n"/>
      <c r="J4">
        <f>IF(OR(H4="",I4=""),"",ROUND(H4*I4/1000000,2))</f>
        <v/>
      </c>
      <c r="K4" s="1">
        <f>IF(J4="","",ROUND(J4*Annahmen!$B$8/Annahmen!$B$6,0)*Annahmen!$B$6)</f>
        <v/>
      </c>
      <c r="L4" s="2" t="n"/>
      <c r="M4" s="3">
        <f>IF(OR(G4="",L4=""),"",1-L4/G4)</f>
        <v/>
      </c>
      <c r="N4" t="n">
        <v>2</v>
      </c>
      <c r="O4" t="n">
        <v>4</v>
      </c>
      <c r="P4" s="1">
        <f>N4*Annahmen!$B$9</f>
        <v/>
      </c>
      <c r="Q4" s="1">
        <f>O4*Annahmen!$B$9</f>
        <v/>
      </c>
      <c r="R4">
        <f>HYPERLINK(Annahmen!$B$11&amp;"#artikel/gb-03","Stück öffnen")</f>
        <v/>
      </c>
      <c r="S4" t="inlineStr">
        <is>
          <t>Masse fehlen – Preis manuell</t>
        </is>
      </c>
    </row>
    <row r="5">
      <c r="A5" t="inlineStr">
        <is>
          <t>GB 04</t>
        </is>
      </c>
      <c r="B5" t="inlineStr">
        <is>
          <t>Neue Glasplatten</t>
        </is>
      </c>
      <c r="C5" t="inlineStr">
        <is>
          <t>Gebogenes Reliefglas mit Reliefmotiv</t>
        </is>
      </c>
      <c r="D5" t="inlineStr">
        <is>
          <t>Gebogen · Masse auf Anfrage · 10 mm Glas</t>
        </is>
      </c>
      <c r="E5" t="inlineStr">
        <is>
          <t>verfügbar</t>
        </is>
      </c>
      <c r="F5" t="inlineStr">
        <is>
          <t>Preis auf Anfrage</t>
        </is>
      </c>
      <c r="G5" s="1" t="n"/>
      <c r="J5">
        <f>IF(OR(H5="",I5=""),"",ROUND(H5*I5/1000000,2))</f>
        <v/>
      </c>
      <c r="K5" s="1">
        <f>IF(J5="","",ROUND(J5*Annahmen!$B$8/Annahmen!$B$6,0)*Annahmen!$B$6)</f>
        <v/>
      </c>
      <c r="L5" s="2" t="n"/>
      <c r="M5" s="3">
        <f>IF(OR(G5="",L5=""),"",1-L5/G5)</f>
        <v/>
      </c>
      <c r="N5" t="n">
        <v>2</v>
      </c>
      <c r="O5" t="n">
        <v>4</v>
      </c>
      <c r="P5" s="1">
        <f>N5*Annahmen!$B$9</f>
        <v/>
      </c>
      <c r="Q5" s="1">
        <f>O5*Annahmen!$B$9</f>
        <v/>
      </c>
      <c r="R5">
        <f>HYPERLINK(Annahmen!$B$11&amp;"#artikel/gb-04","Stück öffnen")</f>
        <v/>
      </c>
      <c r="S5" t="inlineStr">
        <is>
          <t>Masse fehlen – Preis manuell</t>
        </is>
      </c>
    </row>
    <row r="6">
      <c r="A6" t="inlineStr">
        <is>
          <t>TW 20</t>
        </is>
      </c>
      <c r="B6" t="inlineStr">
        <is>
          <t>Neue Glasplatten</t>
        </is>
      </c>
      <c r="C6" t="inlineStr">
        <is>
          <t>Strukturglas-Platte mit grober Textur</t>
        </is>
      </c>
      <c r="D6" t="inlineStr">
        <is>
          <t>1040 × 1900 mm · 8 mm Glas</t>
        </is>
      </c>
      <c r="E6" t="inlineStr">
        <is>
          <t>verfügbar</t>
        </is>
      </c>
      <c r="F6" t="inlineStr">
        <is>
          <t>Preis auf Anfrage</t>
        </is>
      </c>
      <c r="G6" s="1" t="n"/>
      <c r="H6" t="n">
        <v>1040</v>
      </c>
      <c r="I6" t="n">
        <v>1900</v>
      </c>
      <c r="J6">
        <f>IF(OR(H6="",I6=""),"",ROUND(H6*I6/1000000,2))</f>
        <v/>
      </c>
      <c r="K6" s="1">
        <f>IF(J6="","",ROUND(J6*Annahmen!$B$7/Annahmen!$B$6,0)*Annahmen!$B$6)</f>
        <v/>
      </c>
      <c r="L6" s="2" t="n"/>
      <c r="M6" s="3">
        <f>IF(OR(G6="",L6=""),"",1-L6/G6)</f>
        <v/>
      </c>
      <c r="N6" t="n">
        <v>2</v>
      </c>
      <c r="O6" t="n">
        <v>4</v>
      </c>
      <c r="P6" s="1">
        <f>N6*Annahmen!$B$9</f>
        <v/>
      </c>
      <c r="Q6" s="1">
        <f>O6*Annahmen!$B$9</f>
        <v/>
      </c>
      <c r="R6">
        <f>HYPERLINK(Annahmen!$B$11&amp;"#artikel/tw-20","Stück öffnen")</f>
        <v/>
      </c>
      <c r="S6" t="inlineStr">
        <is>
          <t>Formel Fläche × CHF/m² (Annahme)</t>
        </is>
      </c>
    </row>
    <row r="7">
      <c r="A7" t="inlineStr">
        <is>
          <t>TW 21</t>
        </is>
      </c>
      <c r="B7" t="inlineStr">
        <is>
          <t>Neue Glasplatten</t>
        </is>
      </c>
      <c r="C7" t="inlineStr">
        <is>
          <t>Strukturglas-Platte mit Tiermotiv</t>
        </is>
      </c>
      <c r="D7" t="inlineStr">
        <is>
          <t>885 × 1980 mm · 8 mm Glas</t>
        </is>
      </c>
      <c r="E7" t="inlineStr">
        <is>
          <t>verfügbar</t>
        </is>
      </c>
      <c r="F7" t="inlineStr">
        <is>
          <t>Preis auf Anfrage</t>
        </is>
      </c>
      <c r="G7" s="1" t="n"/>
      <c r="H7" t="n">
        <v>885</v>
      </c>
      <c r="I7" t="n">
        <v>1980</v>
      </c>
      <c r="J7">
        <f>IF(OR(H7="",I7=""),"",ROUND(H7*I7/1000000,2))</f>
        <v/>
      </c>
      <c r="K7" s="1">
        <f>IF(J7="","",ROUND(J7*Annahmen!$B$7/Annahmen!$B$6,0)*Annahmen!$B$6)</f>
        <v/>
      </c>
      <c r="L7" s="2" t="n"/>
      <c r="M7" s="3">
        <f>IF(OR(G7="",L7=""),"",1-L7/G7)</f>
        <v/>
      </c>
      <c r="N7" t="n">
        <v>2</v>
      </c>
      <c r="O7" t="n">
        <v>4</v>
      </c>
      <c r="P7" s="1">
        <f>N7*Annahmen!$B$9</f>
        <v/>
      </c>
      <c r="Q7" s="1">
        <f>O7*Annahmen!$B$9</f>
        <v/>
      </c>
      <c r="R7">
        <f>HYPERLINK(Annahmen!$B$11&amp;"#artikel/tw-21","Stück öffnen")</f>
        <v/>
      </c>
      <c r="S7" t="inlineStr">
        <is>
          <t>Formel Fläche × CHF/m² (Annahme)</t>
        </is>
      </c>
    </row>
    <row r="8">
      <c r="A8" t="inlineStr">
        <is>
          <t>TW 22</t>
        </is>
      </c>
      <c r="B8" t="inlineStr">
        <is>
          <t>Neue Glasplatten</t>
        </is>
      </c>
      <c r="C8" t="inlineStr">
        <is>
          <t>Strukturglas-Platte mit feiner Textur</t>
        </is>
      </c>
      <c r="D8" t="inlineStr">
        <is>
          <t>760 × 2030 mm · 8 mm Glas</t>
        </is>
      </c>
      <c r="E8" t="inlineStr">
        <is>
          <t>verfügbar</t>
        </is>
      </c>
      <c r="F8" t="inlineStr">
        <is>
          <t>Preis auf Anfrage</t>
        </is>
      </c>
      <c r="G8" s="1" t="n"/>
      <c r="H8" t="n">
        <v>760</v>
      </c>
      <c r="I8" t="n">
        <v>2030</v>
      </c>
      <c r="J8">
        <f>IF(OR(H8="",I8=""),"",ROUND(H8*I8/1000000,2))</f>
        <v/>
      </c>
      <c r="K8" s="1">
        <f>IF(J8="","",ROUND(J8*Annahmen!$B$7/Annahmen!$B$6,0)*Annahmen!$B$6)</f>
        <v/>
      </c>
      <c r="L8" s="2" t="n"/>
      <c r="M8" s="3">
        <f>IF(OR(G8="",L8=""),"",1-L8/G8)</f>
        <v/>
      </c>
      <c r="N8" t="n">
        <v>2</v>
      </c>
      <c r="O8" t="n">
        <v>4</v>
      </c>
      <c r="P8" s="1">
        <f>N8*Annahmen!$B$9</f>
        <v/>
      </c>
      <c r="Q8" s="1">
        <f>O8*Annahmen!$B$9</f>
        <v/>
      </c>
      <c r="R8">
        <f>HYPERLINK(Annahmen!$B$11&amp;"#artikel/tw-22","Stück öffnen")</f>
        <v/>
      </c>
      <c r="S8" t="inlineStr">
        <is>
          <t>Formel Fläche × CHF/m² (Annahme)</t>
        </is>
      </c>
    </row>
    <row r="9">
      <c r="A9" t="inlineStr">
        <is>
          <t>TW 24</t>
        </is>
      </c>
      <c r="B9" t="inlineStr">
        <is>
          <t>Neue Glasplatten</t>
        </is>
      </c>
      <c r="C9" t="inlineStr">
        <is>
          <t>Strukturglas-Platte mit Meeresmotiv</t>
        </is>
      </c>
      <c r="D9" t="inlineStr">
        <is>
          <t>805 × 1975 mm · 8 mm Glas</t>
        </is>
      </c>
      <c r="E9" t="inlineStr">
        <is>
          <t>verfügbar</t>
        </is>
      </c>
      <c r="F9" t="inlineStr">
        <is>
          <t>Preis auf Anfrage</t>
        </is>
      </c>
      <c r="G9" s="1" t="n"/>
      <c r="H9" t="n">
        <v>805</v>
      </c>
      <c r="I9" t="n">
        <v>1975</v>
      </c>
      <c r="J9">
        <f>IF(OR(H9="",I9=""),"",ROUND(H9*I9/1000000,2))</f>
        <v/>
      </c>
      <c r="K9" s="1">
        <f>IF(J9="","",ROUND(J9*Annahmen!$B$7/Annahmen!$B$6,0)*Annahmen!$B$6)</f>
        <v/>
      </c>
      <c r="L9" s="2" t="n"/>
      <c r="M9" s="3">
        <f>IF(OR(G9="",L9=""),"",1-L9/G9)</f>
        <v/>
      </c>
      <c r="N9" t="n">
        <v>2</v>
      </c>
      <c r="O9" t="n">
        <v>4</v>
      </c>
      <c r="P9" s="1">
        <f>N9*Annahmen!$B$9</f>
        <v/>
      </c>
      <c r="Q9" s="1">
        <f>O9*Annahmen!$B$9</f>
        <v/>
      </c>
      <c r="R9">
        <f>HYPERLINK(Annahmen!$B$11&amp;"#artikel/tw-24","Stück öffnen")</f>
        <v/>
      </c>
      <c r="S9" t="inlineStr">
        <is>
          <t>Formel Fläche × CHF/m² (Annahme)</t>
        </is>
      </c>
    </row>
    <row r="10">
      <c r="A10" t="inlineStr">
        <is>
          <t>TW 25</t>
        </is>
      </c>
      <c r="B10" t="inlineStr">
        <is>
          <t>Neue Glasplatten</t>
        </is>
      </c>
      <c r="C10" t="inlineStr">
        <is>
          <t>Strukturglas-Platte mit Felsstruktur</t>
        </is>
      </c>
      <c r="D10" t="inlineStr">
        <is>
          <t>800 × 1950 mm · 10 mm Glas</t>
        </is>
      </c>
      <c r="E10" t="inlineStr">
        <is>
          <t>verfügbar</t>
        </is>
      </c>
      <c r="F10" t="inlineStr">
        <is>
          <t>Preis auf Anfrage</t>
        </is>
      </c>
      <c r="G10" s="1" t="n"/>
      <c r="H10" t="n">
        <v>800</v>
      </c>
      <c r="I10" t="n">
        <v>1950</v>
      </c>
      <c r="J10">
        <f>IF(OR(H10="",I10=""),"",ROUND(H10*I10/1000000,2))</f>
        <v/>
      </c>
      <c r="K10" s="1">
        <f>IF(J10="","",ROUND(J10*Annahmen!$B$8/Annahmen!$B$6,0)*Annahmen!$B$6)</f>
        <v/>
      </c>
      <c r="L10" s="2" t="n"/>
      <c r="M10" s="3">
        <f>IF(OR(G10="",L10=""),"",1-L10/G10)</f>
        <v/>
      </c>
      <c r="N10" t="n">
        <v>2</v>
      </c>
      <c r="O10" t="n">
        <v>4</v>
      </c>
      <c r="P10" s="1">
        <f>N10*Annahmen!$B$9</f>
        <v/>
      </c>
      <c r="Q10" s="1">
        <f>O10*Annahmen!$B$9</f>
        <v/>
      </c>
      <c r="R10">
        <f>HYPERLINK(Annahmen!$B$11&amp;"#artikel/tw-25","Stück öffnen")</f>
        <v/>
      </c>
      <c r="S10" t="inlineStr">
        <is>
          <t>Formel Fläche × CHF/m² (Annahme)</t>
        </is>
      </c>
    </row>
    <row r="11">
      <c r="A11" t="inlineStr">
        <is>
          <t>TW 26</t>
        </is>
      </c>
      <c r="B11" t="inlineStr">
        <is>
          <t>Neue Glasplatten</t>
        </is>
      </c>
      <c r="C11" t="inlineStr">
        <is>
          <t>Strukturglas-Platte mit Delfinen</t>
        </is>
      </c>
      <c r="D11" t="inlineStr">
        <is>
          <t>605 × 1958 mm · 8 mm Glas</t>
        </is>
      </c>
      <c r="E11" t="inlineStr">
        <is>
          <t>verfügbar</t>
        </is>
      </c>
      <c r="F11" t="inlineStr">
        <is>
          <t>Preis auf Anfrage</t>
        </is>
      </c>
      <c r="G11" s="1" t="n"/>
      <c r="H11" t="n">
        <v>605</v>
      </c>
      <c r="I11" t="n">
        <v>1958</v>
      </c>
      <c r="J11">
        <f>IF(OR(H11="",I11=""),"",ROUND(H11*I11/1000000,2))</f>
        <v/>
      </c>
      <c r="K11" s="1">
        <f>IF(J11="","",ROUND(J11*Annahmen!$B$7/Annahmen!$B$6,0)*Annahmen!$B$6)</f>
        <v/>
      </c>
      <c r="L11" s="2" t="n"/>
      <c r="M11" s="3">
        <f>IF(OR(G11="",L11=""),"",1-L11/G11)</f>
        <v/>
      </c>
      <c r="N11" t="n">
        <v>2</v>
      </c>
      <c r="O11" t="n">
        <v>4</v>
      </c>
      <c r="P11" s="1">
        <f>N11*Annahmen!$B$9</f>
        <v/>
      </c>
      <c r="Q11" s="1">
        <f>O11*Annahmen!$B$9</f>
        <v/>
      </c>
      <c r="R11">
        <f>HYPERLINK(Annahmen!$B$11&amp;"#artikel/tw-26","Stück öffnen")</f>
        <v/>
      </c>
      <c r="S11" t="inlineStr">
        <is>
          <t>Formel Fläche × CHF/m² (Annahme)</t>
        </is>
      </c>
    </row>
    <row r="12">
      <c r="A12" t="inlineStr">
        <is>
          <t>TW 28</t>
        </is>
      </c>
      <c r="B12" t="inlineStr">
        <is>
          <t>Neue Glasplatten</t>
        </is>
      </c>
      <c r="C12" t="inlineStr">
        <is>
          <t>Schmale Strukturglas-Platte</t>
        </is>
      </c>
      <c r="D12" t="inlineStr">
        <is>
          <t>530 × 2005 mm · 10 mm Glas</t>
        </is>
      </c>
      <c r="E12" t="inlineStr">
        <is>
          <t>verfügbar</t>
        </is>
      </c>
      <c r="F12" t="inlineStr">
        <is>
          <t>Preis auf Anfrage</t>
        </is>
      </c>
      <c r="G12" s="1" t="n"/>
      <c r="H12" t="n">
        <v>530</v>
      </c>
      <c r="I12" t="n">
        <v>2005</v>
      </c>
      <c r="J12">
        <f>IF(OR(H12="",I12=""),"",ROUND(H12*I12/1000000,2))</f>
        <v/>
      </c>
      <c r="K12" s="1">
        <f>IF(J12="","",ROUND(J12*Annahmen!$B$8/Annahmen!$B$6,0)*Annahmen!$B$6)</f>
        <v/>
      </c>
      <c r="L12" s="2" t="n"/>
      <c r="M12" s="3">
        <f>IF(OR(G12="",L12=""),"",1-L12/G12)</f>
        <v/>
      </c>
      <c r="N12" t="n">
        <v>2</v>
      </c>
      <c r="O12" t="n">
        <v>4</v>
      </c>
      <c r="P12" s="1">
        <f>N12*Annahmen!$B$9</f>
        <v/>
      </c>
      <c r="Q12" s="1">
        <f>O12*Annahmen!$B$9</f>
        <v/>
      </c>
      <c r="R12">
        <f>HYPERLINK(Annahmen!$B$11&amp;"#artikel/tw-28","Stück öffnen")</f>
        <v/>
      </c>
      <c r="S12" t="inlineStr">
        <is>
          <t>Formel Fläche × CHF/m² (Annahme)</t>
        </is>
      </c>
    </row>
    <row r="13">
      <c r="A13" t="inlineStr">
        <is>
          <t>TW 29</t>
        </is>
      </c>
      <c r="B13" t="inlineStr">
        <is>
          <t>Neue Glasplatten</t>
        </is>
      </c>
      <c r="C13" t="inlineStr">
        <is>
          <t>Schmale Strukturglas-Platte</t>
        </is>
      </c>
      <c r="D13" t="inlineStr">
        <is>
          <t>505 × 1970 mm · 8 mm Glas</t>
        </is>
      </c>
      <c r="E13" t="inlineStr">
        <is>
          <t>verfügbar</t>
        </is>
      </c>
      <c r="F13" t="inlineStr">
        <is>
          <t>Preis auf Anfrage</t>
        </is>
      </c>
      <c r="G13" s="1" t="n"/>
      <c r="H13" t="n">
        <v>505</v>
      </c>
      <c r="I13" t="n">
        <v>1970</v>
      </c>
      <c r="J13">
        <f>IF(OR(H13="",I13=""),"",ROUND(H13*I13/1000000,2))</f>
        <v/>
      </c>
      <c r="K13" s="1">
        <f>IF(J13="","",ROUND(J13*Annahmen!$B$7/Annahmen!$B$6,0)*Annahmen!$B$6)</f>
        <v/>
      </c>
      <c r="L13" s="2" t="n"/>
      <c r="M13" s="3">
        <f>IF(OR(G13="",L13=""),"",1-L13/G13)</f>
        <v/>
      </c>
      <c r="N13" t="n">
        <v>2</v>
      </c>
      <c r="O13" t="n">
        <v>4</v>
      </c>
      <c r="P13" s="1">
        <f>N13*Annahmen!$B$9</f>
        <v/>
      </c>
      <c r="Q13" s="1">
        <f>O13*Annahmen!$B$9</f>
        <v/>
      </c>
      <c r="R13">
        <f>HYPERLINK(Annahmen!$B$11&amp;"#artikel/tw-29","Stück öffnen")</f>
        <v/>
      </c>
      <c r="S13" t="inlineStr">
        <is>
          <t>Formel Fläche × CHF/m² (Annahme)</t>
        </is>
      </c>
    </row>
    <row r="14">
      <c r="A14" t="inlineStr">
        <is>
          <t>TW 31</t>
        </is>
      </c>
      <c r="B14" t="inlineStr">
        <is>
          <t>Neue Glasplatten</t>
        </is>
      </c>
      <c r="C14" t="inlineStr">
        <is>
          <t>Strukturglas-Platte mit Felsstruktur</t>
        </is>
      </c>
      <c r="D14" t="inlineStr">
        <is>
          <t>1005 × 1955 mm · 10 mm Glas</t>
        </is>
      </c>
      <c r="E14" t="inlineStr">
        <is>
          <t>verfügbar</t>
        </is>
      </c>
      <c r="F14" t="inlineStr">
        <is>
          <t>Preis auf Anfrage</t>
        </is>
      </c>
      <c r="G14" s="1" t="n"/>
      <c r="H14" t="n">
        <v>1005</v>
      </c>
      <c r="I14" t="n">
        <v>1955</v>
      </c>
      <c r="J14">
        <f>IF(OR(H14="",I14=""),"",ROUND(H14*I14/1000000,2))</f>
        <v/>
      </c>
      <c r="K14" s="1">
        <f>IF(J14="","",ROUND(J14*Annahmen!$B$8/Annahmen!$B$6,0)*Annahmen!$B$6)</f>
        <v/>
      </c>
      <c r="L14" s="2" t="n"/>
      <c r="M14" s="3">
        <f>IF(OR(G14="",L14=""),"",1-L14/G14)</f>
        <v/>
      </c>
      <c r="N14" t="n">
        <v>2</v>
      </c>
      <c r="O14" t="n">
        <v>4</v>
      </c>
      <c r="P14" s="1">
        <f>N14*Annahmen!$B$9</f>
        <v/>
      </c>
      <c r="Q14" s="1">
        <f>O14*Annahmen!$B$9</f>
        <v/>
      </c>
      <c r="R14">
        <f>HYPERLINK(Annahmen!$B$11&amp;"#artikel/tw-31","Stück öffnen")</f>
        <v/>
      </c>
      <c r="S14" t="inlineStr">
        <is>
          <t>Formel Fläche × CHF/m² (Annahme)</t>
        </is>
      </c>
    </row>
    <row r="15">
      <c r="A15" t="inlineStr">
        <is>
          <t>TW 32</t>
        </is>
      </c>
      <c r="B15" t="inlineStr">
        <is>
          <t>Neue Glasplatten</t>
        </is>
      </c>
      <c r="C15" t="inlineStr">
        <is>
          <t>Strukturglas-Platte mit kräftiger Struktur</t>
        </is>
      </c>
      <c r="D15" t="inlineStr">
        <is>
          <t>1035 × 2100 mm · 10 mm Glas</t>
        </is>
      </c>
      <c r="E15" t="inlineStr">
        <is>
          <t>verfügbar</t>
        </is>
      </c>
      <c r="F15" t="inlineStr">
        <is>
          <t>Preis auf Anfrage</t>
        </is>
      </c>
      <c r="G15" s="1" t="n"/>
      <c r="H15" t="n">
        <v>1035</v>
      </c>
      <c r="I15" t="n">
        <v>2100</v>
      </c>
      <c r="J15">
        <f>IF(OR(H15="",I15=""),"",ROUND(H15*I15/1000000,2))</f>
        <v/>
      </c>
      <c r="K15" s="1">
        <f>IF(J15="","",ROUND(J15*Annahmen!$B$8/Annahmen!$B$6,0)*Annahmen!$B$6)</f>
        <v/>
      </c>
      <c r="L15" s="2" t="n"/>
      <c r="M15" s="3">
        <f>IF(OR(G15="",L15=""),"",1-L15/G15)</f>
        <v/>
      </c>
      <c r="N15" t="n">
        <v>2</v>
      </c>
      <c r="O15" t="n">
        <v>4</v>
      </c>
      <c r="P15" s="1">
        <f>N15*Annahmen!$B$9</f>
        <v/>
      </c>
      <c r="Q15" s="1">
        <f>O15*Annahmen!$B$9</f>
        <v/>
      </c>
      <c r="R15">
        <f>HYPERLINK(Annahmen!$B$11&amp;"#artikel/tw-32","Stück öffnen")</f>
        <v/>
      </c>
      <c r="S15" t="inlineStr">
        <is>
          <t>Formel Fläche × CHF/m² (Annahme)</t>
        </is>
      </c>
    </row>
    <row r="16">
      <c r="A16" t="inlineStr">
        <is>
          <t>TW 33</t>
        </is>
      </c>
      <c r="B16" t="inlineStr">
        <is>
          <t>Neue Glasplatten</t>
        </is>
      </c>
      <c r="C16" t="inlineStr">
        <is>
          <t>Strukturglas-Platte mit Reliefstruktur</t>
        </is>
      </c>
      <c r="D16" t="inlineStr">
        <is>
          <t>1050 × 2000 mm · 10 mm Glas</t>
        </is>
      </c>
      <c r="E16" t="inlineStr">
        <is>
          <t>verfügbar</t>
        </is>
      </c>
      <c r="F16" t="inlineStr">
        <is>
          <t>Preis auf Anfrage</t>
        </is>
      </c>
      <c r="G16" s="1" t="n"/>
      <c r="H16" t="n">
        <v>1050</v>
      </c>
      <c r="I16" t="n">
        <v>2000</v>
      </c>
      <c r="J16">
        <f>IF(OR(H16="",I16=""),"",ROUND(H16*I16/1000000,2))</f>
        <v/>
      </c>
      <c r="K16" s="1">
        <f>IF(J16="","",ROUND(J16*Annahmen!$B$8/Annahmen!$B$6,0)*Annahmen!$B$6)</f>
        <v/>
      </c>
      <c r="L16" s="2" t="n"/>
      <c r="M16" s="3">
        <f>IF(OR(G16="",L16=""),"",1-L16/G16)</f>
        <v/>
      </c>
      <c r="N16" t="n">
        <v>2</v>
      </c>
      <c r="O16" t="n">
        <v>4</v>
      </c>
      <c r="P16" s="1">
        <f>N16*Annahmen!$B$9</f>
        <v/>
      </c>
      <c r="Q16" s="1">
        <f>O16*Annahmen!$B$9</f>
        <v/>
      </c>
      <c r="R16">
        <f>HYPERLINK(Annahmen!$B$11&amp;"#artikel/tw-33","Stück öffnen")</f>
        <v/>
      </c>
      <c r="S16" t="inlineStr">
        <is>
          <t>Formel Fläche × CHF/m² (Annahme)</t>
        </is>
      </c>
    </row>
    <row r="17">
      <c r="A17" t="inlineStr">
        <is>
          <t>TW 34</t>
        </is>
      </c>
      <c r="B17" t="inlineStr">
        <is>
          <t>Neue Glasplatten</t>
        </is>
      </c>
      <c r="C17" t="inlineStr">
        <is>
          <t>Strukturglas-Platte mit Felsstruktur</t>
        </is>
      </c>
      <c r="D17" t="inlineStr">
        <is>
          <t>1100 × 2000 mm · 10 mm Glas</t>
        </is>
      </c>
      <c r="E17" t="inlineStr">
        <is>
          <t>verfügbar</t>
        </is>
      </c>
      <c r="F17" t="inlineStr">
        <is>
          <t>Preis auf Anfrage</t>
        </is>
      </c>
      <c r="G17" s="1" t="n"/>
      <c r="H17" t="n">
        <v>1100</v>
      </c>
      <c r="I17" t="n">
        <v>2000</v>
      </c>
      <c r="J17">
        <f>IF(OR(H17="",I17=""),"",ROUND(H17*I17/1000000,2))</f>
        <v/>
      </c>
      <c r="K17" s="1">
        <f>IF(J17="","",ROUND(J17*Annahmen!$B$8/Annahmen!$B$6,0)*Annahmen!$B$6)</f>
        <v/>
      </c>
      <c r="L17" s="2" t="n"/>
      <c r="M17" s="3">
        <f>IF(OR(G17="",L17=""),"",1-L17/G17)</f>
        <v/>
      </c>
      <c r="N17" t="n">
        <v>2</v>
      </c>
      <c r="O17" t="n">
        <v>4</v>
      </c>
      <c r="P17" s="1">
        <f>N17*Annahmen!$B$9</f>
        <v/>
      </c>
      <c r="Q17" s="1">
        <f>O17*Annahmen!$B$9</f>
        <v/>
      </c>
      <c r="R17">
        <f>HYPERLINK(Annahmen!$B$11&amp;"#artikel/tw-34","Stück öffnen")</f>
        <v/>
      </c>
      <c r="S17" t="inlineStr">
        <is>
          <t>Formel Fläche × CHF/m² (Annahme)</t>
        </is>
      </c>
    </row>
    <row r="18">
      <c r="A18" t="inlineStr">
        <is>
          <t>TW 35</t>
        </is>
      </c>
      <c r="B18" t="inlineStr">
        <is>
          <t>Neue Glasplatten</t>
        </is>
      </c>
      <c r="C18" t="inlineStr">
        <is>
          <t>Breite Strukturglas-Platte mit geschwungener Kante</t>
        </is>
      </c>
      <c r="D18" t="inlineStr">
        <is>
          <t>1250 × 1950 mm · 10 mm Glas</t>
        </is>
      </c>
      <c r="E18" t="inlineStr">
        <is>
          <t>verfügbar</t>
        </is>
      </c>
      <c r="F18" t="inlineStr">
        <is>
          <t>Preis auf Anfrage</t>
        </is>
      </c>
      <c r="G18" s="1" t="n"/>
      <c r="H18" t="n">
        <v>1250</v>
      </c>
      <c r="I18" t="n">
        <v>1950</v>
      </c>
      <c r="J18">
        <f>IF(OR(H18="",I18=""),"",ROUND(H18*I18/1000000,2))</f>
        <v/>
      </c>
      <c r="K18" s="1">
        <f>IF(J18="","",ROUND(J18*Annahmen!$B$8/Annahmen!$B$6,0)*Annahmen!$B$6)</f>
        <v/>
      </c>
      <c r="L18" s="2" t="n"/>
      <c r="M18" s="3">
        <f>IF(OR(G18="",L18=""),"",1-L18/G18)</f>
        <v/>
      </c>
      <c r="N18" t="n">
        <v>2</v>
      </c>
      <c r="O18" t="n">
        <v>4</v>
      </c>
      <c r="P18" s="1">
        <f>N18*Annahmen!$B$9</f>
        <v/>
      </c>
      <c r="Q18" s="1">
        <f>O18*Annahmen!$B$9</f>
        <v/>
      </c>
      <c r="R18">
        <f>HYPERLINK(Annahmen!$B$11&amp;"#artikel/tw-35","Stück öffnen")</f>
        <v/>
      </c>
      <c r="S18" t="inlineStr">
        <is>
          <t>Formel Fläche × CHF/m² (Annahme)</t>
        </is>
      </c>
    </row>
    <row r="19">
      <c r="A19" t="inlineStr">
        <is>
          <t>TW 36</t>
        </is>
      </c>
      <c r="B19" t="inlineStr">
        <is>
          <t>Neue Glasplatten</t>
        </is>
      </c>
      <c r="C19" t="inlineStr">
        <is>
          <t>Strukturglas-Platte mit Linienstruktur</t>
        </is>
      </c>
      <c r="D19" t="inlineStr">
        <is>
          <t>1200 × 2000 mm · 8 mm Glas</t>
        </is>
      </c>
      <c r="E19" t="inlineStr">
        <is>
          <t>verfügbar</t>
        </is>
      </c>
      <c r="F19" t="inlineStr">
        <is>
          <t>Preis auf Anfrage</t>
        </is>
      </c>
      <c r="G19" s="1" t="n"/>
      <c r="H19" t="n">
        <v>1200</v>
      </c>
      <c r="I19" t="n">
        <v>2000</v>
      </c>
      <c r="J19">
        <f>IF(OR(H19="",I19=""),"",ROUND(H19*I19/1000000,2))</f>
        <v/>
      </c>
      <c r="K19" s="1">
        <f>IF(J19="","",ROUND(J19*Annahmen!$B$7/Annahmen!$B$6,0)*Annahmen!$B$6)</f>
        <v/>
      </c>
      <c r="L19" s="2" t="n"/>
      <c r="M19" s="3">
        <f>IF(OR(G19="",L19=""),"",1-L19/G19)</f>
        <v/>
      </c>
      <c r="N19" t="n">
        <v>2</v>
      </c>
      <c r="O19" t="n">
        <v>4</v>
      </c>
      <c r="P19" s="1">
        <f>N19*Annahmen!$B$9</f>
        <v/>
      </c>
      <c r="Q19" s="1">
        <f>O19*Annahmen!$B$9</f>
        <v/>
      </c>
      <c r="R19">
        <f>HYPERLINK(Annahmen!$B$11&amp;"#artikel/tw-36","Stück öffnen")</f>
        <v/>
      </c>
      <c r="S19" t="inlineStr">
        <is>
          <t>Formel Fläche × CHF/m² (Annahme)</t>
        </is>
      </c>
    </row>
    <row r="20">
      <c r="A20" t="inlineStr">
        <is>
          <t>TW 37</t>
        </is>
      </c>
      <c r="B20" t="inlineStr">
        <is>
          <t>Neue Glasplatten</t>
        </is>
      </c>
      <c r="C20" t="inlineStr">
        <is>
          <t>Strukturglas-Platte mit feiner Linienstruktur</t>
        </is>
      </c>
      <c r="D20" t="inlineStr">
        <is>
          <t>Masse auf Anfrage · 8 mm Glas</t>
        </is>
      </c>
      <c r="E20" t="inlineStr">
        <is>
          <t>verfügbar</t>
        </is>
      </c>
      <c r="F20" t="inlineStr">
        <is>
          <t>Preis auf Anfrage</t>
        </is>
      </c>
      <c r="G20" s="1" t="n"/>
      <c r="J20">
        <f>IF(OR(H20="",I20=""),"",ROUND(H20*I20/1000000,2))</f>
        <v/>
      </c>
      <c r="K20" s="1">
        <f>IF(J20="","",ROUND(J20*Annahmen!$B$7/Annahmen!$B$6,0)*Annahmen!$B$6)</f>
        <v/>
      </c>
      <c r="L20" s="2" t="n"/>
      <c r="M20" s="3">
        <f>IF(OR(G20="",L20=""),"",1-L20/G20)</f>
        <v/>
      </c>
      <c r="N20" t="n">
        <v>2</v>
      </c>
      <c r="O20" t="n">
        <v>4</v>
      </c>
      <c r="P20" s="1">
        <f>N20*Annahmen!$B$9</f>
        <v/>
      </c>
      <c r="Q20" s="1">
        <f>O20*Annahmen!$B$9</f>
        <v/>
      </c>
      <c r="R20">
        <f>HYPERLINK(Annahmen!$B$11&amp;"#artikel/tw-37","Stück öffnen")</f>
        <v/>
      </c>
      <c r="S20" t="inlineStr">
        <is>
          <t>Masse fehlen – Preis manuell</t>
        </is>
      </c>
    </row>
    <row r="21">
      <c r="A21" t="inlineStr">
        <is>
          <t>TW 38</t>
        </is>
      </c>
      <c r="B21" t="inlineStr">
        <is>
          <t>Neue Glasplatten</t>
        </is>
      </c>
      <c r="C21" t="inlineStr">
        <is>
          <t>Strukturglas-Platte mit Reliefstruktur</t>
        </is>
      </c>
      <c r="D21" t="inlineStr">
        <is>
          <t>Masse auf Anfrage · 10 mm Glas</t>
        </is>
      </c>
      <c r="E21" t="inlineStr">
        <is>
          <t>verfügbar</t>
        </is>
      </c>
      <c r="F21" t="inlineStr">
        <is>
          <t>Preis auf Anfrage</t>
        </is>
      </c>
      <c r="G21" s="1" t="n"/>
      <c r="J21">
        <f>IF(OR(H21="",I21=""),"",ROUND(H21*I21/1000000,2))</f>
        <v/>
      </c>
      <c r="K21" s="1">
        <f>IF(J21="","",ROUND(J21*Annahmen!$B$8/Annahmen!$B$6,0)*Annahmen!$B$6)</f>
        <v/>
      </c>
      <c r="L21" s="2" t="n"/>
      <c r="M21" s="3">
        <f>IF(OR(G21="",L21=""),"",1-L21/G21)</f>
        <v/>
      </c>
      <c r="N21" t="n">
        <v>2</v>
      </c>
      <c r="O21" t="n">
        <v>4</v>
      </c>
      <c r="P21" s="1">
        <f>N21*Annahmen!$B$9</f>
        <v/>
      </c>
      <c r="Q21" s="1">
        <f>O21*Annahmen!$B$9</f>
        <v/>
      </c>
      <c r="R21">
        <f>HYPERLINK(Annahmen!$B$11&amp;"#artikel/tw-38","Stück öffnen")</f>
        <v/>
      </c>
      <c r="S21" t="inlineStr">
        <is>
          <t>Masse fehlen – Preis manuell</t>
        </is>
      </c>
    </row>
    <row r="22">
      <c r="A22" t="inlineStr">
        <is>
          <t>BA-06</t>
        </is>
      </c>
      <c r="B22" t="inlineStr">
        <is>
          <t>Glaswaschtische</t>
        </is>
      </c>
      <c r="C22" t="inlineStr">
        <is>
          <t>LED-Glaswaschtisch 160 cm mit Holz-Unterschrank</t>
        </is>
      </c>
      <c r="D22" t="inlineStr">
        <is>
          <t>160 cm · zwei Becken · LED-Beleuchtung · Unterschrank Holzdekor · ohne Armaturen</t>
        </is>
      </c>
      <c r="E22" t="inlineStr">
        <is>
          <t>verfügbar</t>
        </is>
      </c>
      <c r="F22" t="inlineStr">
        <is>
          <t>Katalogpreis 05/2025</t>
        </is>
      </c>
      <c r="G22" s="1" t="n">
        <v>1920</v>
      </c>
      <c r="J22">
        <f>IF(OR(H22="",I22=""),"",ROUND(H22*I22/1000000,2))</f>
        <v/>
      </c>
      <c r="K22" s="1">
        <f>IF(G22="","",ROUND(G22*(1-IF(G22&lt;=300,Annahmen!$B$2,IF(G22&lt;=1000,Annahmen!$B$3,IF(G22&lt;=3000,Annahmen!$B$4,Annahmen!$B$5))))/Annahmen!$B$6,0)*Annahmen!$B$6)</f>
        <v/>
      </c>
      <c r="L22" s="2" t="n"/>
      <c r="M22" s="3">
        <f>IF(OR(G22="",L22=""),"",1-L22/G22)</f>
        <v/>
      </c>
      <c r="N22" t="n">
        <v>3</v>
      </c>
      <c r="O22" t="n">
        <v>4</v>
      </c>
      <c r="P22" s="1">
        <f>N22*Annahmen!$B$9</f>
        <v/>
      </c>
      <c r="Q22" s="1">
        <f>O22*Annahmen!$B$9</f>
        <v/>
      </c>
      <c r="R22">
        <f>HYPERLINK(Annahmen!$B$11&amp;"#artikel/ba-06-led-glass-washbasin-160cm","Stück öffnen")</f>
        <v/>
      </c>
      <c r="S22" t="inlineStr"/>
    </row>
    <row r="23">
      <c r="A23" t="inlineStr">
        <is>
          <t>BA-W</t>
        </is>
      </c>
      <c r="B23" t="inlineStr">
        <is>
          <t>Glaswaschtische</t>
        </is>
      </c>
      <c r="C23" t="inlineStr">
        <is>
          <t>Weiss lackierter Glaswaschtisch 76 × 51 cm</t>
        </is>
      </c>
      <c r="D23" t="inlineStr">
        <is>
          <t>76 × 51 cm · weiss lackiert · Edelstahlkonsolen · ohne Armaturen</t>
        </is>
      </c>
      <c r="E23" t="inlineStr">
        <is>
          <t>verfügbar</t>
        </is>
      </c>
      <c r="F23" t="inlineStr">
        <is>
          <t>Katalogpreis 05/2025</t>
        </is>
      </c>
      <c r="G23" s="1" t="n">
        <v>800</v>
      </c>
      <c r="J23">
        <f>IF(OR(H23="",I23=""),"",ROUND(H23*I23/1000000,2))</f>
        <v/>
      </c>
      <c r="K23" s="1">
        <f>IF(G23="","",ROUND(G23*(1-IF(G23&lt;=300,Annahmen!$B$2,IF(G23&lt;=1000,Annahmen!$B$3,IF(G23&lt;=3000,Annahmen!$B$4,Annahmen!$B$5))))/Annahmen!$B$6,0)*Annahmen!$B$6)</f>
        <v/>
      </c>
      <c r="L23" s="2" t="n"/>
      <c r="M23" s="3">
        <f>IF(OR(G23="",L23=""),"",1-L23/G23)</f>
        <v/>
      </c>
      <c r="N23" t="n">
        <v>1.5</v>
      </c>
      <c r="O23" t="n">
        <v>2.5</v>
      </c>
      <c r="P23" s="1">
        <f>N23*Annahmen!$B$9</f>
        <v/>
      </c>
      <c r="Q23" s="1">
        <f>O23*Annahmen!$B$9</f>
        <v/>
      </c>
      <c r="R23">
        <f>HYPERLINK(Annahmen!$B$11&amp;"#artikel/ba-w-white-lacquered-washbasin","Stück öffnen")</f>
        <v/>
      </c>
      <c r="S23" t="inlineStr"/>
    </row>
    <row r="24">
      <c r="A24" t="inlineStr">
        <is>
          <t>BA-05</t>
        </is>
      </c>
      <c r="B24" t="inlineStr">
        <is>
          <t>Glaswaschtische</t>
        </is>
      </c>
      <c r="C24" t="inlineStr">
        <is>
          <t>LED-Glaswaschtisch 99,5 × 52,5 cm mit Steinoptik-Unterschrank</t>
        </is>
      </c>
      <c r="D24" t="inlineStr">
        <is>
          <t>99,5 × 52,5 cm · LED-Beleuchtung · Unterschrank Steinoptik · ohne Armaturen</t>
        </is>
      </c>
      <c r="E24" t="inlineStr">
        <is>
          <t>verfügbar</t>
        </is>
      </c>
      <c r="F24" t="inlineStr">
        <is>
          <t>Katalogpreis 05/2025</t>
        </is>
      </c>
      <c r="G24" s="1" t="n">
        <v>1140</v>
      </c>
      <c r="J24">
        <f>IF(OR(H24="",I24=""),"",ROUND(H24*I24/1000000,2))</f>
        <v/>
      </c>
      <c r="K24" s="1">
        <f>IF(G24="","",ROUND(G24*(1-IF(G24&lt;=300,Annahmen!$B$2,IF(G24&lt;=1000,Annahmen!$B$3,IF(G24&lt;=3000,Annahmen!$B$4,Annahmen!$B$5))))/Annahmen!$B$6,0)*Annahmen!$B$6)</f>
        <v/>
      </c>
      <c r="L24" s="2" t="n"/>
      <c r="M24" s="3">
        <f>IF(OR(G24="",L24=""),"",1-L24/G24)</f>
        <v/>
      </c>
      <c r="N24" t="n">
        <v>3</v>
      </c>
      <c r="O24" t="n">
        <v>4</v>
      </c>
      <c r="P24" s="1">
        <f>N24*Annahmen!$B$9</f>
        <v/>
      </c>
      <c r="Q24" s="1">
        <f>O24*Annahmen!$B$9</f>
        <v/>
      </c>
      <c r="R24">
        <f>HYPERLINK(Annahmen!$B$11&amp;"#artikel/ba-05-led-glass-washbasin-99cm","Stück öffnen")</f>
        <v/>
      </c>
      <c r="S24" t="inlineStr"/>
    </row>
    <row r="25">
      <c r="A25" t="inlineStr">
        <is>
          <t>BA-03</t>
        </is>
      </c>
      <c r="B25" t="inlineStr">
        <is>
          <t>Glaswaschtische</t>
        </is>
      </c>
      <c r="C25" t="inlineStr">
        <is>
          <t>LED-Glaswaschtisch 80 cm mit Unterschrank</t>
        </is>
      </c>
      <c r="D25" t="inlineStr">
        <is>
          <t>80 cm · LED-Beleuchtung · Unterschrank Steinoptik · ohne Armaturen</t>
        </is>
      </c>
      <c r="E25" t="inlineStr">
        <is>
          <t>verfügbar</t>
        </is>
      </c>
      <c r="F25" t="inlineStr">
        <is>
          <t>Katalogpreis 05/2025</t>
        </is>
      </c>
      <c r="G25" s="1" t="n">
        <v>850</v>
      </c>
      <c r="J25">
        <f>IF(OR(H25="",I25=""),"",ROUND(H25*I25/1000000,2))</f>
        <v/>
      </c>
      <c r="K25" s="1">
        <f>IF(G25="","",ROUND(G25*(1-IF(G25&lt;=300,Annahmen!$B$2,IF(G25&lt;=1000,Annahmen!$B$3,IF(G25&lt;=3000,Annahmen!$B$4,Annahmen!$B$5))))/Annahmen!$B$6,0)*Annahmen!$B$6)</f>
        <v/>
      </c>
      <c r="L25" s="2" t="n"/>
      <c r="M25" s="3">
        <f>IF(OR(G25="",L25=""),"",1-L25/G25)</f>
        <v/>
      </c>
      <c r="N25" t="n">
        <v>3</v>
      </c>
      <c r="O25" t="n">
        <v>4</v>
      </c>
      <c r="P25" s="1">
        <f>N25*Annahmen!$B$9</f>
        <v/>
      </c>
      <c r="Q25" s="1">
        <f>O25*Annahmen!$B$9</f>
        <v/>
      </c>
      <c r="R25">
        <f>HYPERLINK(Annahmen!$B$11&amp;"#artikel/ba-03-led-glass-washbasin-80cm","Stück öffnen")</f>
        <v/>
      </c>
      <c r="S25" t="inlineStr"/>
    </row>
    <row r="26">
      <c r="A26" t="inlineStr">
        <is>
          <t>BA-M4</t>
        </is>
      </c>
      <c r="B26" t="inlineStr">
        <is>
          <t>Glaswaschtische</t>
        </is>
      </c>
      <c r="C26" t="inlineStr">
        <is>
          <t>Glasschüssel-Set Modell 4 auf roter Glasplatte</t>
        </is>
      </c>
      <c r="D26" t="inlineStr">
        <is>
          <t>Schüssel schwarz-gold · rote Glasabdeckung · Konsolen · ohne Armatur</t>
        </is>
      </c>
      <c r="E26" t="inlineStr">
        <is>
          <t>verfügbar</t>
        </is>
      </c>
      <c r="F26" t="inlineStr">
        <is>
          <t>Katalogpreis 05/2025</t>
        </is>
      </c>
      <c r="G26" s="1" t="n">
        <v>650</v>
      </c>
      <c r="J26">
        <f>IF(OR(H26="",I26=""),"",ROUND(H26*I26/1000000,2))</f>
        <v/>
      </c>
      <c r="K26" s="1">
        <f>IF(G26="","",ROUND(G26*(1-IF(G26&lt;=300,Annahmen!$B$2,IF(G26&lt;=1000,Annahmen!$B$3,IF(G26&lt;=3000,Annahmen!$B$4,Annahmen!$B$5))))/Annahmen!$B$6,0)*Annahmen!$B$6)</f>
        <v/>
      </c>
      <c r="L26" s="2" t="n"/>
      <c r="M26" s="3">
        <f>IF(OR(G26="",L26=""),"",1-L26/G26)</f>
        <v/>
      </c>
      <c r="N26" t="n">
        <v>1.5</v>
      </c>
      <c r="O26" t="n">
        <v>2.5</v>
      </c>
      <c r="P26" s="1">
        <f>N26*Annahmen!$B$9</f>
        <v/>
      </c>
      <c r="Q26" s="1">
        <f>O26*Annahmen!$B$9</f>
        <v/>
      </c>
      <c r="R26">
        <f>HYPERLINK(Annahmen!$B$11&amp;"#artikel/ba-m4-glass-bowl-set-model-4","Stück öffnen")</f>
        <v/>
      </c>
      <c r="S26" t="inlineStr"/>
    </row>
    <row r="27">
      <c r="A27" t="inlineStr">
        <is>
          <t>BA-RD</t>
        </is>
      </c>
      <c r="B27" t="inlineStr">
        <is>
          <t>Duschen</t>
        </is>
      </c>
      <c r="C27" t="inlineStr">
        <is>
          <t>Runddusche mit Glasboden und Glasdecke</t>
        </is>
      </c>
      <c r="D27" t="inlineStr">
        <is>
          <t>H 206 cm · B 130/100 cm · mit Boden und Decke · Komplettset</t>
        </is>
      </c>
      <c r="E27" t="inlineStr">
        <is>
          <t>verfügbar</t>
        </is>
      </c>
      <c r="F27" t="inlineStr">
        <is>
          <t>Aktionspreis Nov 2026 (bestätigt)</t>
        </is>
      </c>
      <c r="G27" s="1" t="n">
        <v>4000</v>
      </c>
      <c r="J27">
        <f>IF(OR(H27="",I27=""),"",ROUND(H27*I27/1000000,2))</f>
        <v/>
      </c>
      <c r="K27" s="1">
        <f>G27</f>
        <v/>
      </c>
      <c r="L27" s="2" t="n"/>
      <c r="M27" s="3">
        <f>IF(OR(G27="",L27=""),"",1-L27/G27)</f>
        <v/>
      </c>
      <c r="N27" t="n">
        <v>5</v>
      </c>
      <c r="O27" t="n">
        <v>8</v>
      </c>
      <c r="P27" s="1">
        <f>N27*Annahmen!$B$9</f>
        <v/>
      </c>
      <c r="Q27" s="1">
        <f>O27*Annahmen!$B$9</f>
        <v/>
      </c>
      <c r="R27">
        <f>HYPERLINK(Annahmen!$B$11&amp;"#artikel/ba-rd-round-shower","Stück öffnen")</f>
        <v/>
      </c>
      <c r="S27" t="inlineStr">
        <is>
          <t>Aktionspreis bereits bestätigt</t>
        </is>
      </c>
    </row>
    <row r="28">
      <c r="A28" t="inlineStr">
        <is>
          <t>BA-ED</t>
        </is>
      </c>
      <c r="B28" t="inlineStr">
        <is>
          <t>Duschen</t>
        </is>
      </c>
      <c r="C28" t="inlineStr">
        <is>
          <t>Eckdusche 100 × 120 cm mit Schiebetüren</t>
        </is>
      </c>
      <c r="D28" t="inlineStr">
        <is>
          <t>100 × 120 cm, H 200 cm · 2 Fixgläser, 2 Schiebegläser · inkl. Set Eckschiebetüre, Beschläge, Schienen, Griff, Dichtungen</t>
        </is>
      </c>
      <c r="E28" t="inlineStr">
        <is>
          <t>verfügbar</t>
        </is>
      </c>
      <c r="F28" t="inlineStr">
        <is>
          <t>Katalogpreis 05/2025</t>
        </is>
      </c>
      <c r="G28" s="1" t="n">
        <v>3000</v>
      </c>
      <c r="J28">
        <f>IF(OR(H28="",I28=""),"",ROUND(H28*I28/1000000,2))</f>
        <v/>
      </c>
      <c r="K28" s="1">
        <f>IF(G28="","",ROUND(G28*(1-IF(G28&lt;=300,Annahmen!$B$2,IF(G28&lt;=1000,Annahmen!$B$3,IF(G28&lt;=3000,Annahmen!$B$4,Annahmen!$B$5))))/Annahmen!$B$6,0)*Annahmen!$B$6)</f>
        <v/>
      </c>
      <c r="L28" s="2" t="n"/>
      <c r="M28" s="3">
        <f>IF(OR(G28="",L28=""),"",1-L28/G28)</f>
        <v/>
      </c>
      <c r="N28" t="n">
        <v>5</v>
      </c>
      <c r="O28" t="n">
        <v>8</v>
      </c>
      <c r="P28" s="1">
        <f>N28*Annahmen!$B$9</f>
        <v/>
      </c>
      <c r="Q28" s="1">
        <f>O28*Annahmen!$B$9</f>
        <v/>
      </c>
      <c r="R28">
        <f>HYPERLINK(Annahmen!$B$11&amp;"#artikel/ba-ed-corner-sliding-shower","Stück öffnen")</f>
        <v/>
      </c>
      <c r="S28" t="inlineStr"/>
    </row>
    <row r="29">
      <c r="A29" t="inlineStr">
        <is>
          <t>BA-FD</t>
        </is>
      </c>
      <c r="B29" t="inlineStr">
        <is>
          <t>Duschen</t>
        </is>
      </c>
      <c r="C29" t="inlineStr">
        <is>
          <t>Faltentür für Nischendusche 82 × 204 cm</t>
        </is>
      </c>
      <c r="D29" t="inlineStr">
        <is>
          <t>82,3 × 204 cm · mit Beschlägen · Rückwände und Boden auf Anfrage</t>
        </is>
      </c>
      <c r="E29" t="inlineStr">
        <is>
          <t>verfügbar</t>
        </is>
      </c>
      <c r="F29" t="inlineStr">
        <is>
          <t>Katalogpreis 05/2025</t>
        </is>
      </c>
      <c r="G29" s="1" t="n">
        <v>1500</v>
      </c>
      <c r="J29">
        <f>IF(OR(H29="",I29=""),"",ROUND(H29*I29/1000000,2))</f>
        <v/>
      </c>
      <c r="K29" s="1">
        <f>IF(G29="","",ROUND(G29*(1-IF(G29&lt;=300,Annahmen!$B$2,IF(G29&lt;=1000,Annahmen!$B$3,IF(G29&lt;=3000,Annahmen!$B$4,Annahmen!$B$5))))/Annahmen!$B$6,0)*Annahmen!$B$6)</f>
        <v/>
      </c>
      <c r="L29" s="2" t="n"/>
      <c r="M29" s="3">
        <f>IF(OR(G29="",L29=""),"",1-L29/G29)</f>
        <v/>
      </c>
      <c r="N29" t="n">
        <v>5</v>
      </c>
      <c r="O29" t="n">
        <v>8</v>
      </c>
      <c r="P29" s="1">
        <f>N29*Annahmen!$B$9</f>
        <v/>
      </c>
      <c r="Q29" s="1">
        <f>O29*Annahmen!$B$9</f>
        <v/>
      </c>
      <c r="R29">
        <f>HYPERLINK(Annahmen!$B$11&amp;"#artikel/ba-fd-folding-shower-door","Stück öffnen")</f>
        <v/>
      </c>
      <c r="S29" t="inlineStr"/>
    </row>
    <row r="30">
      <c r="A30" t="inlineStr">
        <is>
          <t>BA-SD</t>
        </is>
      </c>
      <c r="B30" t="inlineStr">
        <is>
          <t>Duschen</t>
        </is>
      </c>
      <c r="C30" t="inlineStr">
        <is>
          <t>Dusch-Schiebetüre 100 × 200 cm</t>
        </is>
      </c>
      <c r="D30" t="inlineStr">
        <is>
          <t>100 × 200 cm · mit Beschlägen · Rückwände auf Anfrage</t>
        </is>
      </c>
      <c r="E30" t="inlineStr">
        <is>
          <t>verfügbar</t>
        </is>
      </c>
      <c r="F30" t="inlineStr">
        <is>
          <t>Katalogpreis 05/2025</t>
        </is>
      </c>
      <c r="G30" s="1" t="n">
        <v>1500</v>
      </c>
      <c r="J30">
        <f>IF(OR(H30="",I30=""),"",ROUND(H30*I30/1000000,2))</f>
        <v/>
      </c>
      <c r="K30" s="1">
        <f>IF(G30="","",ROUND(G30*(1-IF(G30&lt;=300,Annahmen!$B$2,IF(G30&lt;=1000,Annahmen!$B$3,IF(G30&lt;=3000,Annahmen!$B$4,Annahmen!$B$5))))/Annahmen!$B$6,0)*Annahmen!$B$6)</f>
        <v/>
      </c>
      <c r="L30" s="2" t="n"/>
      <c r="M30" s="3">
        <f>IF(OR(G30="",L30=""),"",1-L30/G30)</f>
        <v/>
      </c>
      <c r="N30" t="n">
        <v>5</v>
      </c>
      <c r="O30" t="n">
        <v>8</v>
      </c>
      <c r="P30" s="1">
        <f>N30*Annahmen!$B$9</f>
        <v/>
      </c>
      <c r="Q30" s="1">
        <f>O30*Annahmen!$B$9</f>
        <v/>
      </c>
      <c r="R30">
        <f>HYPERLINK(Annahmen!$B$11&amp;"#artikel/ba-sd-sliding-shower-door","Stück öffnen")</f>
        <v/>
      </c>
      <c r="S30" t="inlineStr"/>
    </row>
    <row r="31">
      <c r="A31" s="4" t="inlineStr">
        <is>
          <t>BA-D</t>
        </is>
      </c>
      <c r="B31" s="4" t="inlineStr">
        <is>
          <t>Glastüren</t>
        </is>
      </c>
      <c r="C31" s="4" t="inlineStr">
        <is>
          <t>Glas-Drehtüre mit Delfinrelief, ESG</t>
        </is>
      </c>
      <c r="D31" s="4" t="inlineStr">
        <is>
          <t>80,5 × 218 cm · ESG · inkl. Beschläge und Griff</t>
        </is>
      </c>
      <c r="E31" s="4" t="inlineStr">
        <is>
          <t>verkauft</t>
        </is>
      </c>
      <c r="F31" s="4" t="inlineStr">
        <is>
          <t>Katalogpreis 05/2025</t>
        </is>
      </c>
      <c r="G31" s="5" t="n">
        <v>1400</v>
      </c>
      <c r="H31" s="4" t="n"/>
      <c r="I31" s="4" t="n"/>
      <c r="J31" s="4">
        <f>IF(OR(H31="",I31=""),"",ROUND(H31*I31/1000000,2))</f>
        <v/>
      </c>
      <c r="K31" s="5" t="inlineStr"/>
      <c r="L31" s="5" t="n"/>
      <c r="M31" s="6">
        <f>IF(OR(G31="",L31=""),"",1-L31/G31)</f>
        <v/>
      </c>
      <c r="N31" s="4" t="n">
        <v>2</v>
      </c>
      <c r="O31" s="4" t="n">
        <v>3</v>
      </c>
      <c r="P31" s="5">
        <f>N31*Annahmen!$B$9</f>
        <v/>
      </c>
      <c r="Q31" s="5">
        <f>O31*Annahmen!$B$9</f>
        <v/>
      </c>
      <c r="R31" s="4">
        <f>HYPERLINK(Annahmen!$B$11&amp;"#artikel/ba-d-dolphin-relief-glass-door","Stück öffnen")</f>
        <v/>
      </c>
      <c r="S31" s="4" t="inlineStr">
        <is>
          <t>Verkauft – nur Dokumentation</t>
        </is>
      </c>
    </row>
    <row r="32">
      <c r="A32" t="inlineStr">
        <is>
          <t>BA-P</t>
        </is>
      </c>
      <c r="B32" t="inlineStr">
        <is>
          <t>Glastüren</t>
        </is>
      </c>
      <c r="C32" t="inlineStr">
        <is>
          <t>Glas-Drehtüre mit Palmenrelief, ESG</t>
        </is>
      </c>
      <c r="D32" t="inlineStr">
        <is>
          <t>84 × 201,5 cm · ESG · inkl. Schiene, Beschläge und Griff</t>
        </is>
      </c>
      <c r="E32" t="inlineStr">
        <is>
          <t>verfügbar</t>
        </is>
      </c>
      <c r="F32" t="inlineStr">
        <is>
          <t>Katalogpreis 05/2025</t>
        </is>
      </c>
      <c r="G32" s="1" t="n">
        <v>1200</v>
      </c>
      <c r="J32">
        <f>IF(OR(H32="",I32=""),"",ROUND(H32*I32/1000000,2))</f>
        <v/>
      </c>
      <c r="K32" s="1">
        <f>IF(G32="","",ROUND(G32*(1-IF(G32&lt;=300,Annahmen!$B$2,IF(G32&lt;=1000,Annahmen!$B$3,IF(G32&lt;=3000,Annahmen!$B$4,Annahmen!$B$5))))/Annahmen!$B$6,0)*Annahmen!$B$6)</f>
        <v/>
      </c>
      <c r="L32" s="2" t="n"/>
      <c r="M32" s="3">
        <f>IF(OR(G32="",L32=""),"",1-L32/G32)</f>
        <v/>
      </c>
      <c r="N32" t="n">
        <v>2</v>
      </c>
      <c r="O32" t="n">
        <v>3</v>
      </c>
      <c r="P32" s="1">
        <f>N32*Annahmen!$B$9</f>
        <v/>
      </c>
      <c r="Q32" s="1">
        <f>O32*Annahmen!$B$9</f>
        <v/>
      </c>
      <c r="R32">
        <f>HYPERLINK(Annahmen!$B$11&amp;"#artikel/ba-p-palm-relief-glass-door","Stück öffnen")</f>
        <v/>
      </c>
      <c r="S32" t="inlineStr"/>
    </row>
    <row r="33">
      <c r="A33" t="inlineStr">
        <is>
          <t>LA 04</t>
        </is>
      </c>
      <c r="B33" t="inlineStr">
        <is>
          <t>Glaswaschtische</t>
        </is>
      </c>
      <c r="C33" t="inlineStr">
        <is>
          <t>Glaswaschtisch 130 × 70 cm mit ovalem Becken</t>
        </is>
      </c>
      <c r="D33" t="inlineStr">
        <is>
          <t>130 × 70 cm · Strukturglas klar · ovales Becken</t>
        </is>
      </c>
      <c r="E33" t="inlineStr">
        <is>
          <t>verfügbar</t>
        </is>
      </c>
      <c r="F33" t="inlineStr">
        <is>
          <t>Katalogpreis 05/2025</t>
        </is>
      </c>
      <c r="G33" s="1" t="n">
        <v>1500</v>
      </c>
      <c r="J33">
        <f>IF(OR(H33="",I33=""),"",ROUND(H33*I33/1000000,2))</f>
        <v/>
      </c>
      <c r="K33" s="1">
        <f>IF(G33="","",ROUND(G33*(1-IF(G33&lt;=300,Annahmen!$B$2,IF(G33&lt;=1000,Annahmen!$B$3,IF(G33&lt;=3000,Annahmen!$B$4,Annahmen!$B$5))))/Annahmen!$B$6,0)*Annahmen!$B$6)</f>
        <v/>
      </c>
      <c r="L33" s="2" t="n"/>
      <c r="M33" s="3">
        <f>IF(OR(G33="",L33=""),"",1-L33/G33)</f>
        <v/>
      </c>
      <c r="N33" t="n">
        <v>1.5</v>
      </c>
      <c r="O33" t="n">
        <v>2.5</v>
      </c>
      <c r="P33" s="1">
        <f>N33*Annahmen!$B$9</f>
        <v/>
      </c>
      <c r="Q33" s="1">
        <f>O33*Annahmen!$B$9</f>
        <v/>
      </c>
      <c r="R33">
        <f>HYPERLINK(Annahmen!$B$11&amp;"#artikel/la-04-glass-washbasin","Stück öffnen")</f>
        <v/>
      </c>
      <c r="S33" t="inlineStr"/>
    </row>
    <row r="34">
      <c r="A34" t="inlineStr">
        <is>
          <t>LA 11</t>
        </is>
      </c>
      <c r="B34" t="inlineStr">
        <is>
          <t>Glaswaschtische</t>
        </is>
      </c>
      <c r="C34" t="inlineStr">
        <is>
          <t>Glaswaschtisch 145 × 65 cm, Weiss</t>
        </is>
      </c>
      <c r="D34" t="inlineStr">
        <is>
          <t>145 × 65 cm · weiss</t>
        </is>
      </c>
      <c r="E34" t="inlineStr">
        <is>
          <t>verfügbar</t>
        </is>
      </c>
      <c r="F34" t="inlineStr">
        <is>
          <t>Katalogpreis 05/2025</t>
        </is>
      </c>
      <c r="G34" s="1" t="n">
        <v>800</v>
      </c>
      <c r="J34">
        <f>IF(OR(H34="",I34=""),"",ROUND(H34*I34/1000000,2))</f>
        <v/>
      </c>
      <c r="K34" s="1">
        <f>IF(G34="","",ROUND(G34*(1-IF(G34&lt;=300,Annahmen!$B$2,IF(G34&lt;=1000,Annahmen!$B$3,IF(G34&lt;=3000,Annahmen!$B$4,Annahmen!$B$5))))/Annahmen!$B$6,0)*Annahmen!$B$6)</f>
        <v/>
      </c>
      <c r="L34" s="2" t="n"/>
      <c r="M34" s="3">
        <f>IF(OR(G34="",L34=""),"",1-L34/G34)</f>
        <v/>
      </c>
      <c r="N34" t="n">
        <v>1.5</v>
      </c>
      <c r="O34" t="n">
        <v>2.5</v>
      </c>
      <c r="P34" s="1">
        <f>N34*Annahmen!$B$9</f>
        <v/>
      </c>
      <c r="Q34" s="1">
        <f>O34*Annahmen!$B$9</f>
        <v/>
      </c>
      <c r="R34">
        <f>HYPERLINK(Annahmen!$B$11&amp;"#artikel/la-11-glass-washbasin","Stück öffnen")</f>
        <v/>
      </c>
      <c r="S34" t="inlineStr"/>
    </row>
    <row r="35">
      <c r="A35" t="inlineStr">
        <is>
          <t>LA 21</t>
        </is>
      </c>
      <c r="B35" t="inlineStr">
        <is>
          <t>Glaswaschtische</t>
        </is>
      </c>
      <c r="C35" t="inlineStr">
        <is>
          <t>Geschwungener Glaswaschtisch 122 × 40 cm</t>
        </is>
      </c>
      <c r="D35" t="inlineStr">
        <is>
          <t>122 × 40 cm · geschwungen · Strukturglas klar</t>
        </is>
      </c>
      <c r="E35" t="inlineStr">
        <is>
          <t>verfügbar</t>
        </is>
      </c>
      <c r="F35" t="inlineStr">
        <is>
          <t>Katalogpreis 05/2025</t>
        </is>
      </c>
      <c r="G35" s="1" t="n">
        <v>800</v>
      </c>
      <c r="J35">
        <f>IF(OR(H35="",I35=""),"",ROUND(H35*I35/1000000,2))</f>
        <v/>
      </c>
      <c r="K35" s="1">
        <f>IF(G35="","",ROUND(G35*(1-IF(G35&lt;=300,Annahmen!$B$2,IF(G35&lt;=1000,Annahmen!$B$3,IF(G35&lt;=3000,Annahmen!$B$4,Annahmen!$B$5))))/Annahmen!$B$6,0)*Annahmen!$B$6)</f>
        <v/>
      </c>
      <c r="L35" s="2" t="n"/>
      <c r="M35" s="3">
        <f>IF(OR(G35="",L35=""),"",1-L35/G35)</f>
        <v/>
      </c>
      <c r="N35" t="n">
        <v>1.5</v>
      </c>
      <c r="O35" t="n">
        <v>2.5</v>
      </c>
      <c r="P35" s="1">
        <f>N35*Annahmen!$B$9</f>
        <v/>
      </c>
      <c r="Q35" s="1">
        <f>O35*Annahmen!$B$9</f>
        <v/>
      </c>
      <c r="R35">
        <f>HYPERLINK(Annahmen!$B$11&amp;"#artikel/la-21-glass-washbasin","Stück öffnen")</f>
        <v/>
      </c>
      <c r="S35" t="inlineStr"/>
    </row>
    <row r="36">
      <c r="A36" t="inlineStr">
        <is>
          <t>LA 23</t>
        </is>
      </c>
      <c r="B36" t="inlineStr">
        <is>
          <t>Glaswaschtische</t>
        </is>
      </c>
      <c r="C36" t="inlineStr">
        <is>
          <t>Glaswaschtisch 80 × 56 cm, Kobaltblau</t>
        </is>
      </c>
      <c r="D36" t="inlineStr">
        <is>
          <t>80 × 56 cm · kobaltblau</t>
        </is>
      </c>
      <c r="E36" t="inlineStr">
        <is>
          <t>verfügbar</t>
        </is>
      </c>
      <c r="F36" t="inlineStr">
        <is>
          <t>Katalogpreis 05/2025</t>
        </is>
      </c>
      <c r="G36" s="1" t="n">
        <v>300</v>
      </c>
      <c r="J36">
        <f>IF(OR(H36="",I36=""),"",ROUND(H36*I36/1000000,2))</f>
        <v/>
      </c>
      <c r="K36" s="1">
        <f>IF(G36="","",ROUND(G36*(1-IF(G36&lt;=300,Annahmen!$B$2,IF(G36&lt;=1000,Annahmen!$B$3,IF(G36&lt;=3000,Annahmen!$B$4,Annahmen!$B$5))))/Annahmen!$B$6,0)*Annahmen!$B$6)</f>
        <v/>
      </c>
      <c r="L36" s="2" t="n"/>
      <c r="M36" s="3">
        <f>IF(OR(G36="",L36=""),"",1-L36/G36)</f>
        <v/>
      </c>
      <c r="N36" t="n">
        <v>1.5</v>
      </c>
      <c r="O36" t="n">
        <v>2.5</v>
      </c>
      <c r="P36" s="1">
        <f>N36*Annahmen!$B$9</f>
        <v/>
      </c>
      <c r="Q36" s="1">
        <f>O36*Annahmen!$B$9</f>
        <v/>
      </c>
      <c r="R36">
        <f>HYPERLINK(Annahmen!$B$11&amp;"#artikel/la-23-glass-washbasin","Stück öffnen")</f>
        <v/>
      </c>
      <c r="S36" t="inlineStr"/>
    </row>
    <row r="37">
      <c r="A37" t="inlineStr">
        <is>
          <t>LA 26</t>
        </is>
      </c>
      <c r="B37" t="inlineStr">
        <is>
          <t>Glaswaschtische</t>
        </is>
      </c>
      <c r="C37" t="inlineStr">
        <is>
          <t>Doppelwaschtisch 170 × 65 cm, Gelb, mit Unterschrank</t>
        </is>
      </c>
      <c r="D37" t="inlineStr">
        <is>
          <t>170 × 65 cm · zwei Becken · gelb · mit Unterschrank</t>
        </is>
      </c>
      <c r="E37" t="inlineStr">
        <is>
          <t>verfügbar</t>
        </is>
      </c>
      <c r="F37" t="inlineStr">
        <is>
          <t>Katalogpreis 05/2025</t>
        </is>
      </c>
      <c r="G37" s="1" t="n">
        <v>1500</v>
      </c>
      <c r="J37">
        <f>IF(OR(H37="",I37=""),"",ROUND(H37*I37/1000000,2))</f>
        <v/>
      </c>
      <c r="K37" s="1">
        <f>IF(G37="","",ROUND(G37*(1-IF(G37&lt;=300,Annahmen!$B$2,IF(G37&lt;=1000,Annahmen!$B$3,IF(G37&lt;=3000,Annahmen!$B$4,Annahmen!$B$5))))/Annahmen!$B$6,0)*Annahmen!$B$6)</f>
        <v/>
      </c>
      <c r="L37" s="2" t="n"/>
      <c r="M37" s="3">
        <f>IF(OR(G37="",L37=""),"",1-L37/G37)</f>
        <v/>
      </c>
      <c r="N37" t="n">
        <v>3</v>
      </c>
      <c r="O37" t="n">
        <v>4</v>
      </c>
      <c r="P37" s="1">
        <f>N37*Annahmen!$B$9</f>
        <v/>
      </c>
      <c r="Q37" s="1">
        <f>O37*Annahmen!$B$9</f>
        <v/>
      </c>
      <c r="R37">
        <f>HYPERLINK(Annahmen!$B$11&amp;"#artikel/la-26-glass-washbasin","Stück öffnen")</f>
        <v/>
      </c>
      <c r="S37" t="inlineStr"/>
    </row>
    <row r="38">
      <c r="A38" t="inlineStr">
        <is>
          <t>LA 28</t>
        </is>
      </c>
      <c r="B38" t="inlineStr">
        <is>
          <t>Glaswaschtische</t>
        </is>
      </c>
      <c r="C38" t="inlineStr">
        <is>
          <t>Glaswaschtisch 200 × 65 cm auf Holzsockel</t>
        </is>
      </c>
      <c r="D38" t="inlineStr">
        <is>
          <t>200 × 65 cm · zwei Becken · Holzsockel</t>
        </is>
      </c>
      <c r="E38" t="inlineStr">
        <is>
          <t>verfügbar</t>
        </is>
      </c>
      <c r="F38" t="inlineStr">
        <is>
          <t>Katalogpreis 05/2025</t>
        </is>
      </c>
      <c r="G38" s="1" t="n">
        <v>2000</v>
      </c>
      <c r="J38">
        <f>IF(OR(H38="",I38=""),"",ROUND(H38*I38/1000000,2))</f>
        <v/>
      </c>
      <c r="K38" s="1">
        <f>IF(G38="","",ROUND(G38*(1-IF(G38&lt;=300,Annahmen!$B$2,IF(G38&lt;=1000,Annahmen!$B$3,IF(G38&lt;=3000,Annahmen!$B$4,Annahmen!$B$5))))/Annahmen!$B$6,0)*Annahmen!$B$6)</f>
        <v/>
      </c>
      <c r="L38" s="2" t="n"/>
      <c r="M38" s="3">
        <f>IF(OR(G38="",L38=""),"",1-L38/G38)</f>
        <v/>
      </c>
      <c r="N38" t="n">
        <v>3</v>
      </c>
      <c r="O38" t="n">
        <v>4</v>
      </c>
      <c r="P38" s="1">
        <f>N38*Annahmen!$B$9</f>
        <v/>
      </c>
      <c r="Q38" s="1">
        <f>O38*Annahmen!$B$9</f>
        <v/>
      </c>
      <c r="R38">
        <f>HYPERLINK(Annahmen!$B$11&amp;"#artikel/la-28-glass-washbasin","Stück öffnen")</f>
        <v/>
      </c>
      <c r="S38" t="inlineStr"/>
    </row>
    <row r="39">
      <c r="A39" t="inlineStr">
        <is>
          <t>LA 30</t>
        </is>
      </c>
      <c r="B39" t="inlineStr">
        <is>
          <t>Glaswaschtische</t>
        </is>
      </c>
      <c r="C39" t="inlineStr">
        <is>
          <t>Glaswaschtisch 96 × 56 cm mit Altholz-Unterschrank</t>
        </is>
      </c>
      <c r="D39" t="inlineStr">
        <is>
          <t>96 × 56 cm · Unterschrank Altholz</t>
        </is>
      </c>
      <c r="E39" t="inlineStr">
        <is>
          <t>verfügbar</t>
        </is>
      </c>
      <c r="F39" t="inlineStr">
        <is>
          <t>Katalogpreis 05/2025</t>
        </is>
      </c>
      <c r="G39" s="1" t="n">
        <v>1000</v>
      </c>
      <c r="J39">
        <f>IF(OR(H39="",I39=""),"",ROUND(H39*I39/1000000,2))</f>
        <v/>
      </c>
      <c r="K39" s="1">
        <f>IF(G39="","",ROUND(G39*(1-IF(G39&lt;=300,Annahmen!$B$2,IF(G39&lt;=1000,Annahmen!$B$3,IF(G39&lt;=3000,Annahmen!$B$4,Annahmen!$B$5))))/Annahmen!$B$6,0)*Annahmen!$B$6)</f>
        <v/>
      </c>
      <c r="L39" s="2" t="n"/>
      <c r="M39" s="3">
        <f>IF(OR(G39="",L39=""),"",1-L39/G39)</f>
        <v/>
      </c>
      <c r="N39" t="n">
        <v>3</v>
      </c>
      <c r="O39" t="n">
        <v>4</v>
      </c>
      <c r="P39" s="1">
        <f>N39*Annahmen!$B$9</f>
        <v/>
      </c>
      <c r="Q39" s="1">
        <f>O39*Annahmen!$B$9</f>
        <v/>
      </c>
      <c r="R39">
        <f>HYPERLINK(Annahmen!$B$11&amp;"#artikel/la-30-glass-washbasin","Stück öffnen")</f>
        <v/>
      </c>
      <c r="S39" t="inlineStr"/>
    </row>
    <row r="40">
      <c r="A40" t="inlineStr">
        <is>
          <t>LA 34</t>
        </is>
      </c>
      <c r="B40" t="inlineStr">
        <is>
          <t>Glaswaschtische</t>
        </is>
      </c>
      <c r="C40" t="inlineStr">
        <is>
          <t>Glaswaschtisch 180 × 65 cm mit zwei Becken</t>
        </is>
      </c>
      <c r="D40" t="inlineStr">
        <is>
          <t>180 × 65 cm · zwei Becken · ohne Unterschrank</t>
        </is>
      </c>
      <c r="E40" t="inlineStr">
        <is>
          <t>verfügbar</t>
        </is>
      </c>
      <c r="F40" t="inlineStr">
        <is>
          <t>Katalogpreis 05/2025</t>
        </is>
      </c>
      <c r="G40" s="1" t="n">
        <v>3050</v>
      </c>
      <c r="J40">
        <f>IF(OR(H40="",I40=""),"",ROUND(H40*I40/1000000,2))</f>
        <v/>
      </c>
      <c r="K40" s="1">
        <f>IF(G40="","",ROUND(G40*(1-IF(G40&lt;=300,Annahmen!$B$2,IF(G40&lt;=1000,Annahmen!$B$3,IF(G40&lt;=3000,Annahmen!$B$4,Annahmen!$B$5))))/Annahmen!$B$6,0)*Annahmen!$B$6)</f>
        <v/>
      </c>
      <c r="L40" s="2" t="n"/>
      <c r="M40" s="3">
        <f>IF(OR(G40="",L40=""),"",1-L40/G40)</f>
        <v/>
      </c>
      <c r="N40" t="n">
        <v>3</v>
      </c>
      <c r="O40" t="n">
        <v>4</v>
      </c>
      <c r="P40" s="1">
        <f>N40*Annahmen!$B$9</f>
        <v/>
      </c>
      <c r="Q40" s="1">
        <f>O40*Annahmen!$B$9</f>
        <v/>
      </c>
      <c r="R40">
        <f>HYPERLINK(Annahmen!$B$11&amp;"#artikel/la-34-glass-washbasin","Stück öffnen")</f>
        <v/>
      </c>
      <c r="S40" t="inlineStr"/>
    </row>
    <row r="41">
      <c r="A41" t="inlineStr">
        <is>
          <t>LA 35</t>
        </is>
      </c>
      <c r="B41" t="inlineStr">
        <is>
          <t>Glaswaschtische</t>
        </is>
      </c>
      <c r="C41" t="inlineStr">
        <is>
          <t>Glaswaschtisch 100 × 55 cm mit Mineralgussmöbel und LED</t>
        </is>
      </c>
      <c r="D41" t="inlineStr">
        <is>
          <t>100 × 55 cm · Mineralgussmöbel · Glasplatte · LED</t>
        </is>
      </c>
      <c r="E41" t="inlineStr">
        <is>
          <t>verfügbar</t>
        </is>
      </c>
      <c r="F41" t="inlineStr">
        <is>
          <t>Aktionspreis Nov 2026 (bestätigt)</t>
        </is>
      </c>
      <c r="G41" s="1" t="n">
        <v>500</v>
      </c>
      <c r="J41">
        <f>IF(OR(H41="",I41=""),"",ROUND(H41*I41/1000000,2))</f>
        <v/>
      </c>
      <c r="K41" s="1">
        <f>G41</f>
        <v/>
      </c>
      <c r="L41" s="2" t="n"/>
      <c r="M41" s="3">
        <f>IF(OR(G41="",L41=""),"",1-L41/G41)</f>
        <v/>
      </c>
      <c r="N41" t="n">
        <v>1.5</v>
      </c>
      <c r="O41" t="n">
        <v>2.5</v>
      </c>
      <c r="P41" s="1">
        <f>N41*Annahmen!$B$9</f>
        <v/>
      </c>
      <c r="Q41" s="1">
        <f>O41*Annahmen!$B$9</f>
        <v/>
      </c>
      <c r="R41">
        <f>HYPERLINK(Annahmen!$B$11&amp;"#artikel/la-35-glass-washbasin","Stück öffnen")</f>
        <v/>
      </c>
      <c r="S41" t="inlineStr">
        <is>
          <t>Aktionspreis bereits bestätigt</t>
        </is>
      </c>
    </row>
    <row r="42">
      <c r="A42" t="inlineStr">
        <is>
          <t>LA 36</t>
        </is>
      </c>
      <c r="B42" t="inlineStr">
        <is>
          <t>Glaswaschtische</t>
        </is>
      </c>
      <c r="C42" t="inlineStr">
        <is>
          <t>Glaswaschtisch 98 × 57 cm, Türkis, mit Mineralgussmöbel</t>
        </is>
      </c>
      <c r="D42" t="inlineStr">
        <is>
          <t>98 × 57 cm · türkis · Mineralgussmöbel · Komplettset</t>
        </is>
      </c>
      <c r="E42" t="inlineStr">
        <is>
          <t>verfügbar</t>
        </is>
      </c>
      <c r="F42" t="inlineStr">
        <is>
          <t>Katalogpreis 05/2025</t>
        </is>
      </c>
      <c r="G42" s="1" t="n">
        <v>1200</v>
      </c>
      <c r="J42">
        <f>IF(OR(H42="",I42=""),"",ROUND(H42*I42/1000000,2))</f>
        <v/>
      </c>
      <c r="K42" s="1">
        <f>IF(G42="","",ROUND(G42*(1-IF(G42&lt;=300,Annahmen!$B$2,IF(G42&lt;=1000,Annahmen!$B$3,IF(G42&lt;=3000,Annahmen!$B$4,Annahmen!$B$5))))/Annahmen!$B$6,0)*Annahmen!$B$6)</f>
        <v/>
      </c>
      <c r="L42" s="2" t="n"/>
      <c r="M42" s="3">
        <f>IF(OR(G42="",L42=""),"",1-L42/G42)</f>
        <v/>
      </c>
      <c r="N42" t="n">
        <v>3</v>
      </c>
      <c r="O42" t="n">
        <v>4</v>
      </c>
      <c r="P42" s="1">
        <f>N42*Annahmen!$B$9</f>
        <v/>
      </c>
      <c r="Q42" s="1">
        <f>O42*Annahmen!$B$9</f>
        <v/>
      </c>
      <c r="R42">
        <f>HYPERLINK(Annahmen!$B$11&amp;"#artikel/la-36-glass-washbasin-with-cabinet","Stück öffnen")</f>
        <v/>
      </c>
      <c r="S42" t="inlineStr"/>
    </row>
    <row r="43">
      <c r="A43" t="inlineStr">
        <is>
          <t>LA 37</t>
        </is>
      </c>
      <c r="B43" t="inlineStr">
        <is>
          <t>Glaswaschtische</t>
        </is>
      </c>
      <c r="C43" t="inlineStr">
        <is>
          <t>Geschwungener Glaswaschtisch 120,5 × 64 cm</t>
        </is>
      </c>
      <c r="D43" t="inlineStr">
        <is>
          <t>120,5 × 64 cm · geschwungen · Strukturglas</t>
        </is>
      </c>
      <c r="E43" t="inlineStr">
        <is>
          <t>verfügbar</t>
        </is>
      </c>
      <c r="F43" t="inlineStr">
        <is>
          <t>Katalogpreis 05/2025</t>
        </is>
      </c>
      <c r="G43" s="1" t="n">
        <v>1760</v>
      </c>
      <c r="J43">
        <f>IF(OR(H43="",I43=""),"",ROUND(H43*I43/1000000,2))</f>
        <v/>
      </c>
      <c r="K43" s="1">
        <f>IF(G43="","",ROUND(G43*(1-IF(G43&lt;=300,Annahmen!$B$2,IF(G43&lt;=1000,Annahmen!$B$3,IF(G43&lt;=3000,Annahmen!$B$4,Annahmen!$B$5))))/Annahmen!$B$6,0)*Annahmen!$B$6)</f>
        <v/>
      </c>
      <c r="L43" s="2" t="n"/>
      <c r="M43" s="3">
        <f>IF(OR(G43="",L43=""),"",1-L43/G43)</f>
        <v/>
      </c>
      <c r="N43" t="n">
        <v>1.5</v>
      </c>
      <c r="O43" t="n">
        <v>2.5</v>
      </c>
      <c r="P43" s="1">
        <f>N43*Annahmen!$B$9</f>
        <v/>
      </c>
      <c r="Q43" s="1">
        <f>O43*Annahmen!$B$9</f>
        <v/>
      </c>
      <c r="R43">
        <f>HYPERLINK(Annahmen!$B$11&amp;"#artikel/la-37-glass-washbasin","Stück öffnen")</f>
        <v/>
      </c>
      <c r="S43" t="inlineStr"/>
    </row>
    <row r="44">
      <c r="A44" t="inlineStr">
        <is>
          <t>LA 40</t>
        </is>
      </c>
      <c r="B44" t="inlineStr">
        <is>
          <t>Glaswaschtische</t>
        </is>
      </c>
      <c r="C44" t="inlineStr">
        <is>
          <t>Glaswaschtisch 94 × 67 cm, Kupferton, mit Möbel</t>
        </is>
      </c>
      <c r="D44" t="inlineStr">
        <is>
          <t>94 × 67 cm · Kupferton · Möbel Kunstharz · LED · Komplettset</t>
        </is>
      </c>
      <c r="E44" t="inlineStr">
        <is>
          <t>verfügbar</t>
        </is>
      </c>
      <c r="F44" t="inlineStr">
        <is>
          <t>Katalogpreis 05/2025</t>
        </is>
      </c>
      <c r="G44" s="1" t="n">
        <v>1300</v>
      </c>
      <c r="J44">
        <f>IF(OR(H44="",I44=""),"",ROUND(H44*I44/1000000,2))</f>
        <v/>
      </c>
      <c r="K44" s="1">
        <f>IF(G44="","",ROUND(G44*(1-IF(G44&lt;=300,Annahmen!$B$2,IF(G44&lt;=1000,Annahmen!$B$3,IF(G44&lt;=3000,Annahmen!$B$4,Annahmen!$B$5))))/Annahmen!$B$6,0)*Annahmen!$B$6)</f>
        <v/>
      </c>
      <c r="L44" s="2" t="n"/>
      <c r="M44" s="3">
        <f>IF(OR(G44="",L44=""),"",1-L44/G44)</f>
        <v/>
      </c>
      <c r="N44" t="n">
        <v>3</v>
      </c>
      <c r="O44" t="n">
        <v>4</v>
      </c>
      <c r="P44" s="1">
        <f>N44*Annahmen!$B$9</f>
        <v/>
      </c>
      <c r="Q44" s="1">
        <f>O44*Annahmen!$B$9</f>
        <v/>
      </c>
      <c r="R44">
        <f>HYPERLINK(Annahmen!$B$11&amp;"#artikel/la-40-glass-washbasin","Stück öffnen")</f>
        <v/>
      </c>
      <c r="S44" t="inlineStr"/>
    </row>
    <row r="45">
      <c r="A45" t="inlineStr">
        <is>
          <t>LA 42</t>
        </is>
      </c>
      <c r="B45" t="inlineStr">
        <is>
          <t>Glaswaschtische</t>
        </is>
      </c>
      <c r="C45" t="inlineStr">
        <is>
          <t>Glaswaschtisch 65 × 55 cm, Orange, mit LED</t>
        </is>
      </c>
      <c r="D45" t="inlineStr">
        <is>
          <t>65 × 55 cm · orange · LED · Unterschrank Steinoptik</t>
        </is>
      </c>
      <c r="E45" t="inlineStr">
        <is>
          <t>verfügbar</t>
        </is>
      </c>
      <c r="F45" t="inlineStr">
        <is>
          <t>Katalogpreis 05/2025</t>
        </is>
      </c>
      <c r="G45" s="1" t="n">
        <v>700</v>
      </c>
      <c r="J45">
        <f>IF(OR(H45="",I45=""),"",ROUND(H45*I45/1000000,2))</f>
        <v/>
      </c>
      <c r="K45" s="1">
        <f>IF(G45="","",ROUND(G45*(1-IF(G45&lt;=300,Annahmen!$B$2,IF(G45&lt;=1000,Annahmen!$B$3,IF(G45&lt;=3000,Annahmen!$B$4,Annahmen!$B$5))))/Annahmen!$B$6,0)*Annahmen!$B$6)</f>
        <v/>
      </c>
      <c r="L45" s="2" t="n"/>
      <c r="M45" s="3">
        <f>IF(OR(G45="",L45=""),"",1-L45/G45)</f>
        <v/>
      </c>
      <c r="N45" t="n">
        <v>3</v>
      </c>
      <c r="O45" t="n">
        <v>4</v>
      </c>
      <c r="P45" s="1">
        <f>N45*Annahmen!$B$9</f>
        <v/>
      </c>
      <c r="Q45" s="1">
        <f>O45*Annahmen!$B$9</f>
        <v/>
      </c>
      <c r="R45">
        <f>HYPERLINK(Annahmen!$B$11&amp;"#artikel/la-42-glass-washbasin","Stück öffnen")</f>
        <v/>
      </c>
      <c r="S45" t="inlineStr"/>
    </row>
    <row r="46">
      <c r="A46" t="inlineStr">
        <is>
          <t>LA 47</t>
        </is>
      </c>
      <c r="B46" t="inlineStr">
        <is>
          <t>Glaswaschtische</t>
        </is>
      </c>
      <c r="C46" t="inlineStr">
        <is>
          <t>Waschplatz 68 × 61 cm mit Hochglanzmöbeln</t>
        </is>
      </c>
      <c r="D46" t="inlineStr">
        <is>
          <t>Lavabo 68 × 61 cm · Möbel weiss Hochglanz · Unterschrank 63,5 × 58,5 × 82 cm · Seitenschrank 63,5 × 58,5 × 159 cm · Komplettset</t>
        </is>
      </c>
      <c r="E46" t="inlineStr">
        <is>
          <t>verfügbar</t>
        </is>
      </c>
      <c r="F46" t="inlineStr">
        <is>
          <t>Katalogpreis 05/2025</t>
        </is>
      </c>
      <c r="G46" s="1" t="n">
        <v>1200</v>
      </c>
      <c r="J46">
        <f>IF(OR(H46="",I46=""),"",ROUND(H46*I46/1000000,2))</f>
        <v/>
      </c>
      <c r="K46" s="1">
        <f>IF(G46="","",ROUND(G46*(1-IF(G46&lt;=300,Annahmen!$B$2,IF(G46&lt;=1000,Annahmen!$B$3,IF(G46&lt;=3000,Annahmen!$B$4,Annahmen!$B$5))))/Annahmen!$B$6,0)*Annahmen!$B$6)</f>
        <v/>
      </c>
      <c r="L46" s="2" t="n"/>
      <c r="M46" s="3">
        <f>IF(OR(G46="",L46=""),"",1-L46/G46)</f>
        <v/>
      </c>
      <c r="N46" t="n">
        <v>3</v>
      </c>
      <c r="O46" t="n">
        <v>4</v>
      </c>
      <c r="P46" s="1">
        <f>N46*Annahmen!$B$9</f>
        <v/>
      </c>
      <c r="Q46" s="1">
        <f>O46*Annahmen!$B$9</f>
        <v/>
      </c>
      <c r="R46">
        <f>HYPERLINK(Annahmen!$B$11&amp;"#artikel/la-47-glass-washbasin","Stück öffnen")</f>
        <v/>
      </c>
      <c r="S46" t="inlineStr"/>
    </row>
    <row r="47">
      <c r="A47" t="inlineStr">
        <is>
          <t>LA 49</t>
        </is>
      </c>
      <c r="B47" t="inlineStr">
        <is>
          <t>Glaswaschtische</t>
        </is>
      </c>
      <c r="C47" t="inlineStr">
        <is>
          <t>LED-Glaswaschtisch 175 cm mit Holz-Unterschrank</t>
        </is>
      </c>
      <c r="D47" t="inlineStr">
        <is>
          <t>175 cm · LED-Beleuchtung · Unterschrank Holz · Komplettset</t>
        </is>
      </c>
      <c r="E47" t="inlineStr">
        <is>
          <t>verfügbar</t>
        </is>
      </c>
      <c r="F47" t="inlineStr">
        <is>
          <t>Katalogpreis 05/2025</t>
        </is>
      </c>
      <c r="G47" s="1" t="n">
        <v>3900</v>
      </c>
      <c r="J47">
        <f>IF(OR(H47="",I47=""),"",ROUND(H47*I47/1000000,2))</f>
        <v/>
      </c>
      <c r="K47" s="1">
        <f>IF(G47="","",ROUND(G47*(1-IF(G47&lt;=300,Annahmen!$B$2,IF(G47&lt;=1000,Annahmen!$B$3,IF(G47&lt;=3000,Annahmen!$B$4,Annahmen!$B$5))))/Annahmen!$B$6,0)*Annahmen!$B$6)</f>
        <v/>
      </c>
      <c r="L47" s="2" t="n"/>
      <c r="M47" s="3">
        <f>IF(OR(G47="",L47=""),"",1-L47/G47)</f>
        <v/>
      </c>
      <c r="N47" t="n">
        <v>3</v>
      </c>
      <c r="O47" t="n">
        <v>4</v>
      </c>
      <c r="P47" s="1">
        <f>N47*Annahmen!$B$9</f>
        <v/>
      </c>
      <c r="Q47" s="1">
        <f>O47*Annahmen!$B$9</f>
        <v/>
      </c>
      <c r="R47">
        <f>HYPERLINK(Annahmen!$B$11&amp;"#artikel/la-49-led-glass-washbasin-with-cabinet","Stück öffnen")</f>
        <v/>
      </c>
      <c r="S47" t="inlineStr"/>
    </row>
    <row r="48">
      <c r="A48" t="inlineStr">
        <is>
          <t>LA 50</t>
        </is>
      </c>
      <c r="B48" t="inlineStr">
        <is>
          <t>Glaswaschtische</t>
        </is>
      </c>
      <c r="C48" t="inlineStr">
        <is>
          <t>Schwarze Glasschüssel mit Glasabdeckung 70 × 48 cm</t>
        </is>
      </c>
      <c r="D48" t="inlineStr">
        <is>
          <t>70 × 48 cm · ESG · inkl. Edelstahlkonsolen, Ventil, Siphon, Spritzschutz · CR-W5010</t>
        </is>
      </c>
      <c r="E48" t="inlineStr">
        <is>
          <t>verfügbar</t>
        </is>
      </c>
      <c r="F48" t="inlineStr">
        <is>
          <t>Aktionspreis Nov 2026 (bestätigt)</t>
        </is>
      </c>
      <c r="G48" s="1" t="n">
        <v>500</v>
      </c>
      <c r="J48">
        <f>IF(OR(H48="",I48=""),"",ROUND(H48*I48/1000000,2))</f>
        <v/>
      </c>
      <c r="K48" s="1">
        <f>G48</f>
        <v/>
      </c>
      <c r="L48" s="2" t="n"/>
      <c r="M48" s="3">
        <f>IF(OR(G48="",L48=""),"",1-L48/G48)</f>
        <v/>
      </c>
      <c r="N48" t="n">
        <v>1.5</v>
      </c>
      <c r="O48" t="n">
        <v>2.5</v>
      </c>
      <c r="P48" s="1">
        <f>N48*Annahmen!$B$9</f>
        <v/>
      </c>
      <c r="Q48" s="1">
        <f>O48*Annahmen!$B$9</f>
        <v/>
      </c>
      <c r="R48">
        <f>HYPERLINK(Annahmen!$B$11&amp;"#artikel/la-50-glass-bowl-with-splashback","Stück öffnen")</f>
        <v/>
      </c>
      <c r="S48" t="inlineStr">
        <is>
          <t>Aktionspreis bereits bestätigt</t>
        </is>
      </c>
    </row>
    <row r="49">
      <c r="A49" t="inlineStr">
        <is>
          <t>LA 51</t>
        </is>
      </c>
      <c r="B49" t="inlineStr">
        <is>
          <t>Glaswaschtische</t>
        </is>
      </c>
      <c r="C49" t="inlineStr">
        <is>
          <t>LED-Waschplatz 163 × 62 cm mit Möbel und LED-Spiegel</t>
        </is>
      </c>
      <c r="D49" t="inlineStr">
        <is>
          <t>163 × 62 cm · LED · Möbel Steinoptik · Armaturen · LED-Spiegel 100 × 70 cm</t>
        </is>
      </c>
      <c r="E49" t="inlineStr">
        <is>
          <t>verfügbar</t>
        </is>
      </c>
      <c r="F49" t="inlineStr">
        <is>
          <t>Katalogpreis 05/2025</t>
        </is>
      </c>
      <c r="G49" s="1" t="n">
        <v>5000</v>
      </c>
      <c r="J49">
        <f>IF(OR(H49="",I49=""),"",ROUND(H49*I49/1000000,2))</f>
        <v/>
      </c>
      <c r="K49" s="1">
        <f>IF(G49="","",ROUND(G49*(1-IF(G49&lt;=300,Annahmen!$B$2,IF(G49&lt;=1000,Annahmen!$B$3,IF(G49&lt;=3000,Annahmen!$B$4,Annahmen!$B$5))))/Annahmen!$B$6,0)*Annahmen!$B$6)</f>
        <v/>
      </c>
      <c r="L49" s="2" t="n"/>
      <c r="M49" s="3">
        <f>IF(OR(G49="",L49=""),"",1-L49/G49)</f>
        <v/>
      </c>
      <c r="N49" t="n">
        <v>3</v>
      </c>
      <c r="O49" t="n">
        <v>4</v>
      </c>
      <c r="P49" s="1">
        <f>N49*Annahmen!$B$9</f>
        <v/>
      </c>
      <c r="Q49" s="1">
        <f>O49*Annahmen!$B$9</f>
        <v/>
      </c>
      <c r="R49">
        <f>HYPERLINK(Annahmen!$B$11&amp;"#artikel/la-51-led-washbasin-complete-set","Stück öffnen")</f>
        <v/>
      </c>
      <c r="S49" t="inlineStr"/>
    </row>
    <row r="50">
      <c r="A50" t="inlineStr">
        <is>
          <t>LA 52</t>
        </is>
      </c>
      <c r="B50" t="inlineStr">
        <is>
          <t>Glaswaschtische</t>
        </is>
      </c>
      <c r="C50" t="inlineStr">
        <is>
          <t>Glaswaschtisch 74 × 50,8 cm mit ovalem Becken</t>
        </is>
      </c>
      <c r="D50" t="inlineStr">
        <is>
          <t>74 × 50,8 cm · Strukturglas klar</t>
        </is>
      </c>
      <c r="E50" t="inlineStr">
        <is>
          <t>verfügbar</t>
        </is>
      </c>
      <c r="F50" t="inlineStr">
        <is>
          <t>Katalogpreis 05/2025</t>
        </is>
      </c>
      <c r="G50" s="1" t="n">
        <v>950</v>
      </c>
      <c r="J50">
        <f>IF(OR(H50="",I50=""),"",ROUND(H50*I50/1000000,2))</f>
        <v/>
      </c>
      <c r="K50" s="1">
        <f>IF(G50="","",ROUND(G50*(1-IF(G50&lt;=300,Annahmen!$B$2,IF(G50&lt;=1000,Annahmen!$B$3,IF(G50&lt;=3000,Annahmen!$B$4,Annahmen!$B$5))))/Annahmen!$B$6,0)*Annahmen!$B$6)</f>
        <v/>
      </c>
      <c r="L50" s="2" t="n"/>
      <c r="M50" s="3">
        <f>IF(OR(G50="",L50=""),"",1-L50/G50)</f>
        <v/>
      </c>
      <c r="N50" t="n">
        <v>1.5</v>
      </c>
      <c r="O50" t="n">
        <v>2.5</v>
      </c>
      <c r="P50" s="1">
        <f>N50*Annahmen!$B$9</f>
        <v/>
      </c>
      <c r="Q50" s="1">
        <f>O50*Annahmen!$B$9</f>
        <v/>
      </c>
      <c r="R50">
        <f>HYPERLINK(Annahmen!$B$11&amp;"#artikel/la-52-glass-washbasin","Stück öffnen")</f>
        <v/>
      </c>
      <c r="S50" t="inlineStr"/>
    </row>
    <row r="51">
      <c r="A51" t="inlineStr">
        <is>
          <t>LA 53</t>
        </is>
      </c>
      <c r="B51" t="inlineStr">
        <is>
          <t>Glaswaschtische</t>
        </is>
      </c>
      <c r="C51" t="inlineStr">
        <is>
          <t>Glaswaschtisch 87 × 52 cm mit geschwungener Kante</t>
        </is>
      </c>
      <c r="D51" t="inlineStr">
        <is>
          <t>87 × 52 cm · geschwungene Kante · Strukturglas</t>
        </is>
      </c>
      <c r="E51" t="inlineStr">
        <is>
          <t>verfügbar</t>
        </is>
      </c>
      <c r="F51" t="inlineStr">
        <is>
          <t>Katalogpreis 05/2025</t>
        </is>
      </c>
      <c r="G51" s="1" t="n">
        <v>1300</v>
      </c>
      <c r="J51">
        <f>IF(OR(H51="",I51=""),"",ROUND(H51*I51/1000000,2))</f>
        <v/>
      </c>
      <c r="K51" s="1">
        <f>IF(G51="","",ROUND(G51*(1-IF(G51&lt;=300,Annahmen!$B$2,IF(G51&lt;=1000,Annahmen!$B$3,IF(G51&lt;=3000,Annahmen!$B$4,Annahmen!$B$5))))/Annahmen!$B$6,0)*Annahmen!$B$6)</f>
        <v/>
      </c>
      <c r="L51" s="2" t="n"/>
      <c r="M51" s="3">
        <f>IF(OR(G51="",L51=""),"",1-L51/G51)</f>
        <v/>
      </c>
      <c r="N51" t="n">
        <v>1.5</v>
      </c>
      <c r="O51" t="n">
        <v>2.5</v>
      </c>
      <c r="P51" s="1">
        <f>N51*Annahmen!$B$9</f>
        <v/>
      </c>
      <c r="Q51" s="1">
        <f>O51*Annahmen!$B$9</f>
        <v/>
      </c>
      <c r="R51">
        <f>HYPERLINK(Annahmen!$B$11&amp;"#artikel/la-53-glass-washbasin","Stück öffnen")</f>
        <v/>
      </c>
      <c r="S51" t="inlineStr"/>
    </row>
    <row r="52">
      <c r="A52" t="inlineStr">
        <is>
          <t>LA 55</t>
        </is>
      </c>
      <c r="B52" t="inlineStr">
        <is>
          <t>Glaswaschtische</t>
        </is>
      </c>
      <c r="C52" t="inlineStr">
        <is>
          <t>Glaswaschtisch 100 × 52 cm mit geschwungener Kante</t>
        </is>
      </c>
      <c r="D52" t="inlineStr">
        <is>
          <t>100 × 52 cm · geschwungene Kante · Strukturglas</t>
        </is>
      </c>
      <c r="E52" t="inlineStr">
        <is>
          <t>verfügbar</t>
        </is>
      </c>
      <c r="F52" t="inlineStr">
        <is>
          <t>Katalogpreis 05/2025</t>
        </is>
      </c>
      <c r="G52" s="1" t="n">
        <v>1600</v>
      </c>
      <c r="J52">
        <f>IF(OR(H52="",I52=""),"",ROUND(H52*I52/1000000,2))</f>
        <v/>
      </c>
      <c r="K52" s="1">
        <f>IF(G52="","",ROUND(G52*(1-IF(G52&lt;=300,Annahmen!$B$2,IF(G52&lt;=1000,Annahmen!$B$3,IF(G52&lt;=3000,Annahmen!$B$4,Annahmen!$B$5))))/Annahmen!$B$6,0)*Annahmen!$B$6)</f>
        <v/>
      </c>
      <c r="L52" s="2" t="n"/>
      <c r="M52" s="3">
        <f>IF(OR(G52="",L52=""),"",1-L52/G52)</f>
        <v/>
      </c>
      <c r="N52" t="n">
        <v>1.5</v>
      </c>
      <c r="O52" t="n">
        <v>2.5</v>
      </c>
      <c r="P52" s="1">
        <f>N52*Annahmen!$B$9</f>
        <v/>
      </c>
      <c r="Q52" s="1">
        <f>O52*Annahmen!$B$9</f>
        <v/>
      </c>
      <c r="R52">
        <f>HYPERLINK(Annahmen!$B$11&amp;"#artikel/la-55-glass-washbasin","Stück öffnen")</f>
        <v/>
      </c>
      <c r="S52" t="inlineStr"/>
    </row>
    <row r="53">
      <c r="A53" t="inlineStr">
        <is>
          <t>LA 56</t>
        </is>
      </c>
      <c r="B53" t="inlineStr">
        <is>
          <t>Glaswaschtische</t>
        </is>
      </c>
      <c r="C53" t="inlineStr">
        <is>
          <t>Glaswaschtisch 100 × 57 cm mit gerader Kante</t>
        </is>
      </c>
      <c r="D53" t="inlineStr">
        <is>
          <t>100 × 57 cm · Strukturglas</t>
        </is>
      </c>
      <c r="E53" t="inlineStr">
        <is>
          <t>verfügbar</t>
        </is>
      </c>
      <c r="F53" t="inlineStr">
        <is>
          <t>Katalogpreis 05/2025</t>
        </is>
      </c>
      <c r="G53" s="1" t="n">
        <v>1300</v>
      </c>
      <c r="J53">
        <f>IF(OR(H53="",I53=""),"",ROUND(H53*I53/1000000,2))</f>
        <v/>
      </c>
      <c r="K53" s="1">
        <f>IF(G53="","",ROUND(G53*(1-IF(G53&lt;=300,Annahmen!$B$2,IF(G53&lt;=1000,Annahmen!$B$3,IF(G53&lt;=3000,Annahmen!$B$4,Annahmen!$B$5))))/Annahmen!$B$6,0)*Annahmen!$B$6)</f>
        <v/>
      </c>
      <c r="L53" s="2" t="n"/>
      <c r="M53" s="3">
        <f>IF(OR(G53="",L53=""),"",1-L53/G53)</f>
        <v/>
      </c>
      <c r="N53" t="n">
        <v>1.5</v>
      </c>
      <c r="O53" t="n">
        <v>2.5</v>
      </c>
      <c r="P53" s="1">
        <f>N53*Annahmen!$B$9</f>
        <v/>
      </c>
      <c r="Q53" s="1">
        <f>O53*Annahmen!$B$9</f>
        <v/>
      </c>
      <c r="R53">
        <f>HYPERLINK(Annahmen!$B$11&amp;"#artikel/la-56-glass-washbasin","Stück öffnen")</f>
        <v/>
      </c>
      <c r="S53" t="inlineStr"/>
    </row>
    <row r="54">
      <c r="A54" t="inlineStr">
        <is>
          <t>LA 57</t>
        </is>
      </c>
      <c r="B54" t="inlineStr">
        <is>
          <t>Glaswaschtische</t>
        </is>
      </c>
      <c r="C54" t="inlineStr">
        <is>
          <t>Handwaschbecken 50 × 50 cm, Weissglas</t>
        </is>
      </c>
      <c r="D54" t="inlineStr">
        <is>
          <t>50 × 50 cm · weiss</t>
        </is>
      </c>
      <c r="E54" t="inlineStr">
        <is>
          <t>verfügbar</t>
        </is>
      </c>
      <c r="F54" t="inlineStr">
        <is>
          <t>Katalogpreis 05/2025</t>
        </is>
      </c>
      <c r="G54" s="1" t="n">
        <v>100</v>
      </c>
      <c r="J54">
        <f>IF(OR(H54="",I54=""),"",ROUND(H54*I54/1000000,2))</f>
        <v/>
      </c>
      <c r="K54" s="1">
        <f>IF(G54="","",ROUND(G54*(1-IF(G54&lt;=300,Annahmen!$B$2,IF(G54&lt;=1000,Annahmen!$B$3,IF(G54&lt;=3000,Annahmen!$B$4,Annahmen!$B$5))))/Annahmen!$B$6,0)*Annahmen!$B$6)</f>
        <v/>
      </c>
      <c r="L54" s="2" t="n"/>
      <c r="M54" s="3">
        <f>IF(OR(G54="",L54=""),"",1-L54/G54)</f>
        <v/>
      </c>
      <c r="N54" t="n">
        <v>1.5</v>
      </c>
      <c r="O54" t="n">
        <v>2.5</v>
      </c>
      <c r="P54" s="1">
        <f>N54*Annahmen!$B$9</f>
        <v/>
      </c>
      <c r="Q54" s="1">
        <f>O54*Annahmen!$B$9</f>
        <v/>
      </c>
      <c r="R54">
        <f>HYPERLINK(Annahmen!$B$11&amp;"#artikel/la-57-glass-washbasin","Stück öffnen")</f>
        <v/>
      </c>
      <c r="S54" t="inlineStr"/>
    </row>
    <row r="55">
      <c r="A55" t="inlineStr">
        <is>
          <t>LA 58</t>
        </is>
      </c>
      <c r="B55" t="inlineStr">
        <is>
          <t>Glaswaschtische</t>
        </is>
      </c>
      <c r="C55" t="inlineStr">
        <is>
          <t>Rundes Aufsatzbecken Ø 41 cm, Strukturglas</t>
        </is>
      </c>
      <c r="D55" t="inlineStr">
        <is>
          <t>Ø 41 cm · Strukturglas klar</t>
        </is>
      </c>
      <c r="E55" t="inlineStr">
        <is>
          <t>verfügbar</t>
        </is>
      </c>
      <c r="F55" t="inlineStr">
        <is>
          <t>Katalogpreis 05/2025</t>
        </is>
      </c>
      <c r="G55" s="1" t="n">
        <v>600</v>
      </c>
      <c r="J55">
        <f>IF(OR(H55="",I55=""),"",ROUND(H55*I55/1000000,2))</f>
        <v/>
      </c>
      <c r="K55" s="1">
        <f>IF(G55="","",ROUND(G55*(1-IF(G55&lt;=300,Annahmen!$B$2,IF(G55&lt;=1000,Annahmen!$B$3,IF(G55&lt;=3000,Annahmen!$B$4,Annahmen!$B$5))))/Annahmen!$B$6,0)*Annahmen!$B$6)</f>
        <v/>
      </c>
      <c r="L55" s="2" t="n"/>
      <c r="M55" s="3">
        <f>IF(OR(G55="",L55=""),"",1-L55/G55)</f>
        <v/>
      </c>
      <c r="N55" t="n">
        <v>1.5</v>
      </c>
      <c r="O55" t="n">
        <v>2.5</v>
      </c>
      <c r="P55" s="1">
        <f>N55*Annahmen!$B$9</f>
        <v/>
      </c>
      <c r="Q55" s="1">
        <f>O55*Annahmen!$B$9</f>
        <v/>
      </c>
      <c r="R55">
        <f>HYPERLINK(Annahmen!$B$11&amp;"#artikel/la-58-glass-washbasin","Stück öffnen")</f>
        <v/>
      </c>
      <c r="S55" t="inlineStr"/>
    </row>
    <row r="56">
      <c r="A56" t="inlineStr">
        <is>
          <t>LA 59</t>
        </is>
      </c>
      <c r="B56" t="inlineStr">
        <is>
          <t>Glaswaschtische</t>
        </is>
      </c>
      <c r="C56" t="inlineStr">
        <is>
          <t>Aufsatzbecken 55,5 × 36,5 cm, Rot</t>
        </is>
      </c>
      <c r="D56" t="inlineStr">
        <is>
          <t>55,5 × 36,5 cm · rot</t>
        </is>
      </c>
      <c r="E56" t="inlineStr">
        <is>
          <t>verfügbar</t>
        </is>
      </c>
      <c r="F56" t="inlineStr">
        <is>
          <t>Aktionspreis Nov 2026 (bestätigt)</t>
        </is>
      </c>
      <c r="G56" s="1" t="n">
        <v>100</v>
      </c>
      <c r="J56">
        <f>IF(OR(H56="",I56=""),"",ROUND(H56*I56/1000000,2))</f>
        <v/>
      </c>
      <c r="K56" s="1">
        <f>G56</f>
        <v/>
      </c>
      <c r="L56" s="2" t="n"/>
      <c r="M56" s="3">
        <f>IF(OR(G56="",L56=""),"",1-L56/G56)</f>
        <v/>
      </c>
      <c r="N56" t="n">
        <v>1.5</v>
      </c>
      <c r="O56" t="n">
        <v>2.5</v>
      </c>
      <c r="P56" s="1">
        <f>N56*Annahmen!$B$9</f>
        <v/>
      </c>
      <c r="Q56" s="1">
        <f>O56*Annahmen!$B$9</f>
        <v/>
      </c>
      <c r="R56">
        <f>HYPERLINK(Annahmen!$B$11&amp;"#artikel/la-59-glass-washbasin","Stück öffnen")</f>
        <v/>
      </c>
      <c r="S56" t="inlineStr">
        <is>
          <t>Aktionspreis bereits bestätigt</t>
        </is>
      </c>
    </row>
    <row r="57">
      <c r="A57" t="inlineStr">
        <is>
          <t>LA 60</t>
        </is>
      </c>
      <c r="B57" t="inlineStr">
        <is>
          <t>Glaswaschtische</t>
        </is>
      </c>
      <c r="C57" t="inlineStr">
        <is>
          <t>Aufsatzbecken 50,5 × 40 cm, Grün-Grau</t>
        </is>
      </c>
      <c r="D57" t="inlineStr">
        <is>
          <t>50,5 × 40 cm · grün-grau</t>
        </is>
      </c>
      <c r="E57" t="inlineStr">
        <is>
          <t>verfügbar</t>
        </is>
      </c>
      <c r="F57" t="inlineStr">
        <is>
          <t>Katalogpreis 05/2025</t>
        </is>
      </c>
      <c r="G57" s="1" t="n">
        <v>600</v>
      </c>
      <c r="J57">
        <f>IF(OR(H57="",I57=""),"",ROUND(H57*I57/1000000,2))</f>
        <v/>
      </c>
      <c r="K57" s="1">
        <f>IF(G57="","",ROUND(G57*(1-IF(G57&lt;=300,Annahmen!$B$2,IF(G57&lt;=1000,Annahmen!$B$3,IF(G57&lt;=3000,Annahmen!$B$4,Annahmen!$B$5))))/Annahmen!$B$6,0)*Annahmen!$B$6)</f>
        <v/>
      </c>
      <c r="L57" s="2" t="n"/>
      <c r="M57" s="3">
        <f>IF(OR(G57="",L57=""),"",1-L57/G57)</f>
        <v/>
      </c>
      <c r="N57" t="n">
        <v>1.5</v>
      </c>
      <c r="O57" t="n">
        <v>2.5</v>
      </c>
      <c r="P57" s="1">
        <f>N57*Annahmen!$B$9</f>
        <v/>
      </c>
      <c r="Q57" s="1">
        <f>O57*Annahmen!$B$9</f>
        <v/>
      </c>
      <c r="R57">
        <f>HYPERLINK(Annahmen!$B$11&amp;"#artikel/la-60-glass-washbasin","Stück öffnen")</f>
        <v/>
      </c>
      <c r="S57" t="inlineStr"/>
    </row>
    <row r="58">
      <c r="A58" s="4" t="inlineStr">
        <is>
          <t>LA 61</t>
        </is>
      </c>
      <c r="B58" s="4" t="inlineStr">
        <is>
          <t>Glaswaschtische</t>
        </is>
      </c>
      <c r="C58" s="4" t="inlineStr">
        <is>
          <t>Aufsatzbecken 55 × 37 cm, Schwarz-Gold</t>
        </is>
      </c>
      <c r="D58" s="4" t="inlineStr">
        <is>
          <t>55 × 37 cm · schwarz-gold</t>
        </is>
      </c>
      <c r="E58" s="4" t="inlineStr">
        <is>
          <t>verkauft</t>
        </is>
      </c>
      <c r="F58" s="4" t="inlineStr">
        <is>
          <t>Katalogpreis 05/2025</t>
        </is>
      </c>
      <c r="G58" s="5" t="n">
        <v>300</v>
      </c>
      <c r="H58" s="4" t="n"/>
      <c r="I58" s="4" t="n"/>
      <c r="J58" s="4">
        <f>IF(OR(H58="",I58=""),"",ROUND(H58*I58/1000000,2))</f>
        <v/>
      </c>
      <c r="K58" s="5" t="inlineStr"/>
      <c r="L58" s="5" t="n"/>
      <c r="M58" s="6">
        <f>IF(OR(G58="",L58=""),"",1-L58/G58)</f>
        <v/>
      </c>
      <c r="N58" s="4" t="n">
        <v>1.5</v>
      </c>
      <c r="O58" s="4" t="n">
        <v>2.5</v>
      </c>
      <c r="P58" s="5">
        <f>N58*Annahmen!$B$9</f>
        <v/>
      </c>
      <c r="Q58" s="5">
        <f>O58*Annahmen!$B$9</f>
        <v/>
      </c>
      <c r="R58" s="4">
        <f>HYPERLINK(Annahmen!$B$11&amp;"#artikel/la-61-glass-washbasin","Stück öffnen")</f>
        <v/>
      </c>
      <c r="S58" s="4" t="inlineStr">
        <is>
          <t>Verkauft – nur Dokumentation</t>
        </is>
      </c>
    </row>
    <row r="59">
      <c r="A59" t="inlineStr">
        <is>
          <t>LA 62</t>
        </is>
      </c>
      <c r="B59" t="inlineStr">
        <is>
          <t>Glaswaschtische</t>
        </is>
      </c>
      <c r="C59" t="inlineStr">
        <is>
          <t>Glaswaschtisch 80 × 55 cm, Gelb, mit Mineralgusskonsole</t>
        </is>
      </c>
      <c r="D59" t="inlineStr">
        <is>
          <t>80 × 55 cm · gelb · Mineralgusskonsole · Ablaufventil · Lochbohrung für Armatur möglich</t>
        </is>
      </c>
      <c r="E59" t="inlineStr">
        <is>
          <t>verfügbar</t>
        </is>
      </c>
      <c r="F59" t="inlineStr">
        <is>
          <t>Katalogpreis 05/2025</t>
        </is>
      </c>
      <c r="G59" s="1" t="n">
        <v>400</v>
      </c>
      <c r="J59">
        <f>IF(OR(H59="",I59=""),"",ROUND(H59*I59/1000000,2))</f>
        <v/>
      </c>
      <c r="K59" s="1">
        <f>IF(G59="","",ROUND(G59*(1-IF(G59&lt;=300,Annahmen!$B$2,IF(G59&lt;=1000,Annahmen!$B$3,IF(G59&lt;=3000,Annahmen!$B$4,Annahmen!$B$5))))/Annahmen!$B$6,0)*Annahmen!$B$6)</f>
        <v/>
      </c>
      <c r="L59" s="2" t="n"/>
      <c r="M59" s="3">
        <f>IF(OR(G59="",L59=""),"",1-L59/G59)</f>
        <v/>
      </c>
      <c r="N59" t="n">
        <v>1.5</v>
      </c>
      <c r="O59" t="n">
        <v>2.5</v>
      </c>
      <c r="P59" s="1">
        <f>N59*Annahmen!$B$9</f>
        <v/>
      </c>
      <c r="Q59" s="1">
        <f>O59*Annahmen!$B$9</f>
        <v/>
      </c>
      <c r="R59">
        <f>HYPERLINK(Annahmen!$B$11&amp;"#artikel/la-62-glass-washbasin","Stück öffnen")</f>
        <v/>
      </c>
      <c r="S59" t="inlineStr"/>
    </row>
    <row r="60">
      <c r="A60" t="inlineStr">
        <is>
          <t>LA 63</t>
        </is>
      </c>
      <c r="B60" t="inlineStr">
        <is>
          <t>Glaswaschtische</t>
        </is>
      </c>
      <c r="C60" t="inlineStr">
        <is>
          <t>Handwaschbecken 49,8 × 51,8 cm, Blau</t>
        </is>
      </c>
      <c r="D60" t="inlineStr">
        <is>
          <t>49,8 × 51,8 cm · blau</t>
        </is>
      </c>
      <c r="E60" t="inlineStr">
        <is>
          <t>verfügbar</t>
        </is>
      </c>
      <c r="F60" t="inlineStr">
        <is>
          <t>Katalogpreis 05/2025</t>
        </is>
      </c>
      <c r="G60" s="1" t="n">
        <v>100</v>
      </c>
      <c r="J60">
        <f>IF(OR(H60="",I60=""),"",ROUND(H60*I60/1000000,2))</f>
        <v/>
      </c>
      <c r="K60" s="1">
        <f>IF(G60="","",ROUND(G60*(1-IF(G60&lt;=300,Annahmen!$B$2,IF(G60&lt;=1000,Annahmen!$B$3,IF(G60&lt;=3000,Annahmen!$B$4,Annahmen!$B$5))))/Annahmen!$B$6,0)*Annahmen!$B$6)</f>
        <v/>
      </c>
      <c r="L60" s="2" t="n"/>
      <c r="M60" s="3">
        <f>IF(OR(G60="",L60=""),"",1-L60/G60)</f>
        <v/>
      </c>
      <c r="N60" t="n">
        <v>1.5</v>
      </c>
      <c r="O60" t="n">
        <v>2.5</v>
      </c>
      <c r="P60" s="1">
        <f>N60*Annahmen!$B$9</f>
        <v/>
      </c>
      <c r="Q60" s="1">
        <f>O60*Annahmen!$B$9</f>
        <v/>
      </c>
      <c r="R60">
        <f>HYPERLINK(Annahmen!$B$11&amp;"#artikel/la-63-glass-washbasin","Stück öffnen")</f>
        <v/>
      </c>
      <c r="S60" t="inlineStr"/>
    </row>
    <row r="61">
      <c r="A61" t="inlineStr">
        <is>
          <t>LA 64</t>
        </is>
      </c>
      <c r="B61" t="inlineStr">
        <is>
          <t>Glaswaschtische</t>
        </is>
      </c>
      <c r="C61" t="inlineStr">
        <is>
          <t>Mundgeblasenes Aufsatzbecken Ø 41,8 cm, Blau</t>
        </is>
      </c>
      <c r="D61" t="inlineStr">
        <is>
          <t>Ø 41,8 cm · mundgeblasen · blau</t>
        </is>
      </c>
      <c r="E61" t="inlineStr">
        <is>
          <t>verfügbar</t>
        </is>
      </c>
      <c r="F61" t="inlineStr">
        <is>
          <t>Katalogpreis 05/2025</t>
        </is>
      </c>
      <c r="G61" s="1" t="n">
        <v>300</v>
      </c>
      <c r="J61">
        <f>IF(OR(H61="",I61=""),"",ROUND(H61*I61/1000000,2))</f>
        <v/>
      </c>
      <c r="K61" s="1">
        <f>IF(G61="","",ROUND(G61*(1-IF(G61&lt;=300,Annahmen!$B$2,IF(G61&lt;=1000,Annahmen!$B$3,IF(G61&lt;=3000,Annahmen!$B$4,Annahmen!$B$5))))/Annahmen!$B$6,0)*Annahmen!$B$6)</f>
        <v/>
      </c>
      <c r="L61" s="2" t="n"/>
      <c r="M61" s="3">
        <f>IF(OR(G61="",L61=""),"",1-L61/G61)</f>
        <v/>
      </c>
      <c r="N61" t="n">
        <v>1.5</v>
      </c>
      <c r="O61" t="n">
        <v>2.5</v>
      </c>
      <c r="P61" s="1">
        <f>N61*Annahmen!$B$9</f>
        <v/>
      </c>
      <c r="Q61" s="1">
        <f>O61*Annahmen!$B$9</f>
        <v/>
      </c>
      <c r="R61">
        <f>HYPERLINK(Annahmen!$B$11&amp;"#artikel/la-64-glass-washbasin","Stück öffnen")</f>
        <v/>
      </c>
      <c r="S61" t="inlineStr"/>
    </row>
    <row r="62">
      <c r="A62" t="inlineStr">
        <is>
          <t>LA 65</t>
        </is>
      </c>
      <c r="B62" t="inlineStr">
        <is>
          <t>Glaswaschtische</t>
        </is>
      </c>
      <c r="C62" t="inlineStr">
        <is>
          <t>Mundgeblasenes Aufsatzbecken Ø 41,8 cm mit Glastablar</t>
        </is>
      </c>
      <c r="D62" t="inlineStr">
        <is>
          <t>Ø 41,8 cm · mundgeblasen blau · Glastablar 77 × 44 × 3 cm · Konsolen · Ablaufventil</t>
        </is>
      </c>
      <c r="E62" t="inlineStr">
        <is>
          <t>verfügbar</t>
        </is>
      </c>
      <c r="F62" t="inlineStr">
        <is>
          <t>Katalogpreis 05/2025</t>
        </is>
      </c>
      <c r="G62" s="1" t="n">
        <v>500</v>
      </c>
      <c r="J62">
        <f>IF(OR(H62="",I62=""),"",ROUND(H62*I62/1000000,2))</f>
        <v/>
      </c>
      <c r="K62" s="1">
        <f>IF(G62="","",ROUND(G62*(1-IF(G62&lt;=300,Annahmen!$B$2,IF(G62&lt;=1000,Annahmen!$B$3,IF(G62&lt;=3000,Annahmen!$B$4,Annahmen!$B$5))))/Annahmen!$B$6,0)*Annahmen!$B$6)</f>
        <v/>
      </c>
      <c r="L62" s="2" t="n"/>
      <c r="M62" s="3">
        <f>IF(OR(G62="",L62=""),"",1-L62/G62)</f>
        <v/>
      </c>
      <c r="N62" t="n">
        <v>1.5</v>
      </c>
      <c r="O62" t="n">
        <v>2.5</v>
      </c>
      <c r="P62" s="1">
        <f>N62*Annahmen!$B$9</f>
        <v/>
      </c>
      <c r="Q62" s="1">
        <f>O62*Annahmen!$B$9</f>
        <v/>
      </c>
      <c r="R62">
        <f>HYPERLINK(Annahmen!$B$11&amp;"#artikel/la-65-glass-washbasin","Stück öffnen")</f>
        <v/>
      </c>
      <c r="S62" t="inlineStr"/>
    </row>
    <row r="63">
      <c r="A63" t="inlineStr">
        <is>
          <t>SP 01</t>
        </is>
      </c>
      <c r="B63" t="inlineStr">
        <is>
          <t>Spiegel</t>
        </is>
      </c>
      <c r="C63" t="inlineStr">
        <is>
          <t>LED-Spiegel 113 × 60 cm mit orangem Glasrahmen</t>
        </is>
      </c>
      <c r="D63" t="inlineStr">
        <is>
          <t>113 × 60 cm · Glasrahmen · LED</t>
        </is>
      </c>
      <c r="E63" t="inlineStr">
        <is>
          <t>verfügbar</t>
        </is>
      </c>
      <c r="F63" t="inlineStr">
        <is>
          <t>Katalogpreis 05/2025</t>
        </is>
      </c>
      <c r="G63" s="1" t="n">
        <v>500</v>
      </c>
      <c r="J63">
        <f>IF(OR(H63="",I63=""),"",ROUND(H63*I63/1000000,2))</f>
        <v/>
      </c>
      <c r="K63" s="1">
        <f>IF(G63="","",ROUND(G63*(1-IF(G63&lt;=300,Annahmen!$B$2,IF(G63&lt;=1000,Annahmen!$B$3,IF(G63&lt;=3000,Annahmen!$B$4,Annahmen!$B$5))))/Annahmen!$B$6,0)*Annahmen!$B$6)</f>
        <v/>
      </c>
      <c r="L63" s="2" t="n"/>
      <c r="M63" s="3">
        <f>IF(OR(G63="",L63=""),"",1-L63/G63)</f>
        <v/>
      </c>
      <c r="N63" t="n">
        <v>1.5</v>
      </c>
      <c r="O63" t="n">
        <v>2</v>
      </c>
      <c r="P63" s="1">
        <f>N63*Annahmen!$B$9</f>
        <v/>
      </c>
      <c r="Q63" s="1">
        <f>O63*Annahmen!$B$9</f>
        <v/>
      </c>
      <c r="R63">
        <f>HYPERLINK(Annahmen!$B$11&amp;"#artikel/sp-01-glass-mirror","Stück öffnen")</f>
        <v/>
      </c>
      <c r="S63" t="inlineStr"/>
    </row>
    <row r="64">
      <c r="A64" t="inlineStr">
        <is>
          <t>SP 02</t>
        </is>
      </c>
      <c r="B64" t="inlineStr">
        <is>
          <t>Spiegel</t>
        </is>
      </c>
      <c r="C64" t="inlineStr">
        <is>
          <t>Spiegel 100 × 95 cm mit rotem Glasrahmen</t>
        </is>
      </c>
      <c r="D64" t="inlineStr">
        <is>
          <t>100 × 95 cm · Glasrahmen</t>
        </is>
      </c>
      <c r="E64" t="inlineStr">
        <is>
          <t>verfügbar</t>
        </is>
      </c>
      <c r="F64" t="inlineStr">
        <is>
          <t>Katalogpreis 05/2025</t>
        </is>
      </c>
      <c r="G64" s="1" t="n">
        <v>400</v>
      </c>
      <c r="J64">
        <f>IF(OR(H64="",I64=""),"",ROUND(H64*I64/1000000,2))</f>
        <v/>
      </c>
      <c r="K64" s="1">
        <f>IF(G64="","",ROUND(G64*(1-IF(G64&lt;=300,Annahmen!$B$2,IF(G64&lt;=1000,Annahmen!$B$3,IF(G64&lt;=3000,Annahmen!$B$4,Annahmen!$B$5))))/Annahmen!$B$6,0)*Annahmen!$B$6)</f>
        <v/>
      </c>
      <c r="L64" s="2" t="n"/>
      <c r="M64" s="3">
        <f>IF(OR(G64="",L64=""),"",1-L64/G64)</f>
        <v/>
      </c>
      <c r="N64" t="n">
        <v>1</v>
      </c>
      <c r="O64" t="n">
        <v>1.5</v>
      </c>
      <c r="P64" s="1">
        <f>N64*Annahmen!$B$9</f>
        <v/>
      </c>
      <c r="Q64" s="1">
        <f>O64*Annahmen!$B$9</f>
        <v/>
      </c>
      <c r="R64">
        <f>HYPERLINK(Annahmen!$B$11&amp;"#artikel/sp-02-glass-mirror","Stück öffnen")</f>
        <v/>
      </c>
      <c r="S64" t="inlineStr"/>
    </row>
    <row r="65">
      <c r="A65" t="inlineStr">
        <is>
          <t>SP 03</t>
        </is>
      </c>
      <c r="B65" t="inlineStr">
        <is>
          <t>Spiegel</t>
        </is>
      </c>
      <c r="C65" t="inlineStr">
        <is>
          <t>LED-Spiegel 95 × 92 cm mit grünem Glasrahmen und Tablar</t>
        </is>
      </c>
      <c r="D65" t="inlineStr">
        <is>
          <t>95 × 92 cm · Glasrahmen · Tablar · LED</t>
        </is>
      </c>
      <c r="E65" t="inlineStr">
        <is>
          <t>verfügbar</t>
        </is>
      </c>
      <c r="F65" t="inlineStr">
        <is>
          <t>Katalogpreis 05/2025</t>
        </is>
      </c>
      <c r="G65" s="1" t="n">
        <v>350</v>
      </c>
      <c r="J65">
        <f>IF(OR(H65="",I65=""),"",ROUND(H65*I65/1000000,2))</f>
        <v/>
      </c>
      <c r="K65" s="1">
        <f>IF(G65="","",ROUND(G65*(1-IF(G65&lt;=300,Annahmen!$B$2,IF(G65&lt;=1000,Annahmen!$B$3,IF(G65&lt;=3000,Annahmen!$B$4,Annahmen!$B$5))))/Annahmen!$B$6,0)*Annahmen!$B$6)</f>
        <v/>
      </c>
      <c r="L65" s="2" t="n"/>
      <c r="M65" s="3">
        <f>IF(OR(G65="",L65=""),"",1-L65/G65)</f>
        <v/>
      </c>
      <c r="N65" t="n">
        <v>1.5</v>
      </c>
      <c r="O65" t="n">
        <v>2</v>
      </c>
      <c r="P65" s="1">
        <f>N65*Annahmen!$B$9</f>
        <v/>
      </c>
      <c r="Q65" s="1">
        <f>O65*Annahmen!$B$9</f>
        <v/>
      </c>
      <c r="R65">
        <f>HYPERLINK(Annahmen!$B$11&amp;"#artikel/sp-03-glass-mirror","Stück öffnen")</f>
        <v/>
      </c>
      <c r="S65" t="inlineStr"/>
    </row>
    <row r="66">
      <c r="A66" t="inlineStr">
        <is>
          <t>SP 08</t>
        </is>
      </c>
      <c r="B66" t="inlineStr">
        <is>
          <t>Spiegel</t>
        </is>
      </c>
      <c r="C66" t="inlineStr">
        <is>
          <t>LED-Spiegel 86 × 82 cm mit Strukturglas-Rahmen</t>
        </is>
      </c>
      <c r="D66" t="inlineStr">
        <is>
          <t>86 × 82 cm · Glasrahmen · LED</t>
        </is>
      </c>
      <c r="E66" t="inlineStr">
        <is>
          <t>verfügbar</t>
        </is>
      </c>
      <c r="F66" t="inlineStr">
        <is>
          <t>Katalogpreis 05/2025</t>
        </is>
      </c>
      <c r="G66" s="1" t="n">
        <v>400</v>
      </c>
      <c r="J66">
        <f>IF(OR(H66="",I66=""),"",ROUND(H66*I66/1000000,2))</f>
        <v/>
      </c>
      <c r="K66" s="1">
        <f>IF(G66="","",ROUND(G66*(1-IF(G66&lt;=300,Annahmen!$B$2,IF(G66&lt;=1000,Annahmen!$B$3,IF(G66&lt;=3000,Annahmen!$B$4,Annahmen!$B$5))))/Annahmen!$B$6,0)*Annahmen!$B$6)</f>
        <v/>
      </c>
      <c r="L66" s="2" t="n"/>
      <c r="M66" s="3">
        <f>IF(OR(G66="",L66=""),"",1-L66/G66)</f>
        <v/>
      </c>
      <c r="N66" t="n">
        <v>1.5</v>
      </c>
      <c r="O66" t="n">
        <v>2</v>
      </c>
      <c r="P66" s="1">
        <f>N66*Annahmen!$B$9</f>
        <v/>
      </c>
      <c r="Q66" s="1">
        <f>O66*Annahmen!$B$9</f>
        <v/>
      </c>
      <c r="R66">
        <f>HYPERLINK(Annahmen!$B$11&amp;"#artikel/sp-08-glass-mirror","Stück öffnen")</f>
        <v/>
      </c>
      <c r="S66" t="inlineStr"/>
    </row>
    <row r="67">
      <c r="A67" t="inlineStr">
        <is>
          <t>SP 09</t>
        </is>
      </c>
      <c r="B67" t="inlineStr">
        <is>
          <t>Spiegel</t>
        </is>
      </c>
      <c r="C67" t="inlineStr">
        <is>
          <t>LED-Spiegel 126,5 × 80 cm mit Strukturglas-Rahmen</t>
        </is>
      </c>
      <c r="D67" t="inlineStr">
        <is>
          <t>126,5 × 80 cm · Glasrahmen · LED</t>
        </is>
      </c>
      <c r="E67" t="inlineStr">
        <is>
          <t>verfügbar</t>
        </is>
      </c>
      <c r="F67" t="inlineStr">
        <is>
          <t>Katalogpreis 05/2025</t>
        </is>
      </c>
      <c r="G67" s="1" t="n">
        <v>550</v>
      </c>
      <c r="J67">
        <f>IF(OR(H67="",I67=""),"",ROUND(H67*I67/1000000,2))</f>
        <v/>
      </c>
      <c r="K67" s="1">
        <f>IF(G67="","",ROUND(G67*(1-IF(G67&lt;=300,Annahmen!$B$2,IF(G67&lt;=1000,Annahmen!$B$3,IF(G67&lt;=3000,Annahmen!$B$4,Annahmen!$B$5))))/Annahmen!$B$6,0)*Annahmen!$B$6)</f>
        <v/>
      </c>
      <c r="L67" s="2" t="n"/>
      <c r="M67" s="3">
        <f>IF(OR(G67="",L67=""),"",1-L67/G67)</f>
        <v/>
      </c>
      <c r="N67" t="n">
        <v>1.5</v>
      </c>
      <c r="O67" t="n">
        <v>2</v>
      </c>
      <c r="P67" s="1">
        <f>N67*Annahmen!$B$9</f>
        <v/>
      </c>
      <c r="Q67" s="1">
        <f>O67*Annahmen!$B$9</f>
        <v/>
      </c>
      <c r="R67">
        <f>HYPERLINK(Annahmen!$B$11&amp;"#artikel/sp-09-glass-mirror","Stück öffnen")</f>
        <v/>
      </c>
      <c r="S67" t="inlineStr"/>
    </row>
    <row r="68">
      <c r="A68" t="inlineStr">
        <is>
          <t>SP 11</t>
        </is>
      </c>
      <c r="B68" t="inlineStr">
        <is>
          <t>Spiegel</t>
        </is>
      </c>
      <c r="C68" t="inlineStr">
        <is>
          <t>LED-Spiegel 156 × 109 cm mit orangem Glasrahmen</t>
        </is>
      </c>
      <c r="D68" t="inlineStr">
        <is>
          <t>156 × 109 cm · Glasrahmen · LED</t>
        </is>
      </c>
      <c r="E68" t="inlineStr">
        <is>
          <t>verfügbar</t>
        </is>
      </c>
      <c r="F68" t="inlineStr">
        <is>
          <t>Katalogpreis 05/2025</t>
        </is>
      </c>
      <c r="G68" s="1" t="n">
        <v>750</v>
      </c>
      <c r="J68">
        <f>IF(OR(H68="",I68=""),"",ROUND(H68*I68/1000000,2))</f>
        <v/>
      </c>
      <c r="K68" s="1">
        <f>IF(G68="","",ROUND(G68*(1-IF(G68&lt;=300,Annahmen!$B$2,IF(G68&lt;=1000,Annahmen!$B$3,IF(G68&lt;=3000,Annahmen!$B$4,Annahmen!$B$5))))/Annahmen!$B$6,0)*Annahmen!$B$6)</f>
        <v/>
      </c>
      <c r="L68" s="2" t="n"/>
      <c r="M68" s="3">
        <f>IF(OR(G68="",L68=""),"",1-L68/G68)</f>
        <v/>
      </c>
      <c r="N68" t="n">
        <v>1.5</v>
      </c>
      <c r="O68" t="n">
        <v>2</v>
      </c>
      <c r="P68" s="1">
        <f>N68*Annahmen!$B$9</f>
        <v/>
      </c>
      <c r="Q68" s="1">
        <f>O68*Annahmen!$B$9</f>
        <v/>
      </c>
      <c r="R68">
        <f>HYPERLINK(Annahmen!$B$11&amp;"#artikel/sp-11-glass-mirror","Stück öffnen")</f>
        <v/>
      </c>
      <c r="S68" t="inlineStr"/>
    </row>
    <row r="69">
      <c r="A69" t="inlineStr">
        <is>
          <t>SP 15</t>
        </is>
      </c>
      <c r="B69" t="inlineStr">
        <is>
          <t>Spiegel</t>
        </is>
      </c>
      <c r="C69" t="inlineStr">
        <is>
          <t>Runder LED-Spiegel Ø 70 cm mit Kosmetikspiegel</t>
        </is>
      </c>
      <c r="D69" t="inlineStr">
        <is>
          <t>Ø 70 cm · LED direkt und indirekt · Kosmetikspiegel</t>
        </is>
      </c>
      <c r="E69" t="inlineStr">
        <is>
          <t>verfügbar</t>
        </is>
      </c>
      <c r="F69" t="inlineStr">
        <is>
          <t>Katalogpreis 05/2025</t>
        </is>
      </c>
      <c r="G69" s="1" t="n">
        <v>150</v>
      </c>
      <c r="J69">
        <f>IF(OR(H69="",I69=""),"",ROUND(H69*I69/1000000,2))</f>
        <v/>
      </c>
      <c r="K69" s="1">
        <f>IF(G69="","",ROUND(G69*(1-IF(G69&lt;=300,Annahmen!$B$2,IF(G69&lt;=1000,Annahmen!$B$3,IF(G69&lt;=3000,Annahmen!$B$4,Annahmen!$B$5))))/Annahmen!$B$6,0)*Annahmen!$B$6)</f>
        <v/>
      </c>
      <c r="L69" s="2" t="n"/>
      <c r="M69" s="3">
        <f>IF(OR(G69="",L69=""),"",1-L69/G69)</f>
        <v/>
      </c>
      <c r="N69" t="n">
        <v>1.5</v>
      </c>
      <c r="O69" t="n">
        <v>2</v>
      </c>
      <c r="P69" s="1">
        <f>N69*Annahmen!$B$9</f>
        <v/>
      </c>
      <c r="Q69" s="1">
        <f>O69*Annahmen!$B$9</f>
        <v/>
      </c>
      <c r="R69">
        <f>HYPERLINK(Annahmen!$B$11&amp;"#artikel/sp-15-glass-mirror","Stück öffnen")</f>
        <v/>
      </c>
      <c r="S69" t="inlineStr"/>
    </row>
    <row r="70">
      <c r="A70" t="inlineStr">
        <is>
          <t>SP 16</t>
        </is>
      </c>
      <c r="B70" t="inlineStr">
        <is>
          <t>Spiegel</t>
        </is>
      </c>
      <c r="C70" t="inlineStr">
        <is>
          <t>Runder LED-Spiegel Ø 60 cm mit Kosmetikspiegel</t>
        </is>
      </c>
      <c r="D70" t="inlineStr">
        <is>
          <t>Ø 60 cm · LED direkt und indirekt · Kosmetikspiegel</t>
        </is>
      </c>
      <c r="E70" t="inlineStr">
        <is>
          <t>verfügbar</t>
        </is>
      </c>
      <c r="F70" t="inlineStr">
        <is>
          <t>Katalogpreis 05/2025</t>
        </is>
      </c>
      <c r="G70" s="1" t="n">
        <v>150</v>
      </c>
      <c r="J70">
        <f>IF(OR(H70="",I70=""),"",ROUND(H70*I70/1000000,2))</f>
        <v/>
      </c>
      <c r="K70" s="1">
        <f>IF(G70="","",ROUND(G70*(1-IF(G70&lt;=300,Annahmen!$B$2,IF(G70&lt;=1000,Annahmen!$B$3,IF(G70&lt;=3000,Annahmen!$B$4,Annahmen!$B$5))))/Annahmen!$B$6,0)*Annahmen!$B$6)</f>
        <v/>
      </c>
      <c r="L70" s="2" t="n"/>
      <c r="M70" s="3">
        <f>IF(OR(G70="",L70=""),"",1-L70/G70)</f>
        <v/>
      </c>
      <c r="N70" t="n">
        <v>1.5</v>
      </c>
      <c r="O70" t="n">
        <v>2</v>
      </c>
      <c r="P70" s="1">
        <f>N70*Annahmen!$B$9</f>
        <v/>
      </c>
      <c r="Q70" s="1">
        <f>O70*Annahmen!$B$9</f>
        <v/>
      </c>
      <c r="R70">
        <f>HYPERLINK(Annahmen!$B$11&amp;"#artikel/sp-16-glass-mirror","Stück öffnen")</f>
        <v/>
      </c>
      <c r="S70" t="inlineStr"/>
    </row>
    <row r="71">
      <c r="A71" t="inlineStr">
        <is>
          <t>SP 17</t>
        </is>
      </c>
      <c r="B71" t="inlineStr">
        <is>
          <t>Spiegel</t>
        </is>
      </c>
      <c r="C71" t="inlineStr">
        <is>
          <t>Organischer LED-Spiegel mit Strukturglas-Rahmen</t>
        </is>
      </c>
      <c r="D71" t="inlineStr">
        <is>
          <t>Freie Form · Strukturglas-Rahmen · LED-Hinterleuchtung</t>
        </is>
      </c>
      <c r="E71" t="inlineStr">
        <is>
          <t>verfügbar</t>
        </is>
      </c>
      <c r="F71" t="inlineStr">
        <is>
          <t>Katalogpreis 05/2025</t>
        </is>
      </c>
      <c r="G71" s="1" t="n">
        <v>500</v>
      </c>
      <c r="J71">
        <f>IF(OR(H71="",I71=""),"",ROUND(H71*I71/1000000,2))</f>
        <v/>
      </c>
      <c r="K71" s="1">
        <f>IF(G71="","",ROUND(G71*(1-IF(G71&lt;=300,Annahmen!$B$2,IF(G71&lt;=1000,Annahmen!$B$3,IF(G71&lt;=3000,Annahmen!$B$4,Annahmen!$B$5))))/Annahmen!$B$6,0)*Annahmen!$B$6)</f>
        <v/>
      </c>
      <c r="L71" s="2" t="n"/>
      <c r="M71" s="3">
        <f>IF(OR(G71="",L71=""),"",1-L71/G71)</f>
        <v/>
      </c>
      <c r="N71" t="n">
        <v>1.5</v>
      </c>
      <c r="O71" t="n">
        <v>2</v>
      </c>
      <c r="P71" s="1">
        <f>N71*Annahmen!$B$9</f>
        <v/>
      </c>
      <c r="Q71" s="1">
        <f>O71*Annahmen!$B$9</f>
        <v/>
      </c>
      <c r="R71">
        <f>HYPERLINK(Annahmen!$B$11&amp;"#artikel/sp-17-glass-mirror","Stück öffnen")</f>
        <v/>
      </c>
      <c r="S71" t="inlineStr"/>
    </row>
    <row r="72">
      <c r="A72" t="inlineStr">
        <is>
          <t>DU 01</t>
        </is>
      </c>
      <c r="B72" t="inlineStr">
        <is>
          <t>Duschen</t>
        </is>
      </c>
      <c r="C72" t="inlineStr">
        <is>
          <t>Glasdusche Schwarz/Anthrazit 120 × 106 × 197 cm</t>
        </is>
      </c>
      <c r="D72" t="inlineStr">
        <is>
          <t>120 × 106 × 197 cm (B × T × H) · Glasrückwand · Trennwände und Türe · Beschläge, Dichtungen, Stabilisationsstange · ohne Armaturen</t>
        </is>
      </c>
      <c r="E72" t="inlineStr">
        <is>
          <t>verfügbar</t>
        </is>
      </c>
      <c r="F72" t="inlineStr">
        <is>
          <t>Katalogpreis 05/2025</t>
        </is>
      </c>
      <c r="G72" s="1" t="n">
        <v>5000</v>
      </c>
      <c r="J72">
        <f>IF(OR(H72="",I72=""),"",ROUND(H72*I72/1000000,2))</f>
        <v/>
      </c>
      <c r="K72" s="1">
        <f>IF(G72="","",ROUND(G72*(1-IF(G72&lt;=300,Annahmen!$B$2,IF(G72&lt;=1000,Annahmen!$B$3,IF(G72&lt;=3000,Annahmen!$B$4,Annahmen!$B$5))))/Annahmen!$B$6,0)*Annahmen!$B$6)</f>
        <v/>
      </c>
      <c r="L72" s="2" t="n"/>
      <c r="M72" s="3">
        <f>IF(OR(G72="",L72=""),"",1-L72/G72)</f>
        <v/>
      </c>
      <c r="N72" t="n">
        <v>5</v>
      </c>
      <c r="O72" t="n">
        <v>8</v>
      </c>
      <c r="P72" s="1">
        <f>N72*Annahmen!$B$9</f>
        <v/>
      </c>
      <c r="Q72" s="1">
        <f>O72*Annahmen!$B$9</f>
        <v/>
      </c>
      <c r="R72">
        <f>HYPERLINK(Annahmen!$B$11&amp;"#artikel/du-01-black-anthracite-shower","Stück öffnen")</f>
        <v/>
      </c>
      <c r="S72" t="inlineStr"/>
    </row>
    <row r="73">
      <c r="A73" t="inlineStr">
        <is>
          <t>DU 03</t>
        </is>
      </c>
      <c r="B73" t="inlineStr">
        <is>
          <t>Duschen</t>
        </is>
      </c>
      <c r="C73" t="inlineStr">
        <is>
          <t>Gebogene Glasdusche Blau mit Leuchtturm-Motiv</t>
        </is>
      </c>
      <c r="D73" t="inlineStr">
        <is>
          <t>125 × 100 × 194 cm · gebogene Glastrennwand · Glasrückwände · ohne Armaturen</t>
        </is>
      </c>
      <c r="E73" t="inlineStr">
        <is>
          <t>verfügbar</t>
        </is>
      </c>
      <c r="F73" t="inlineStr">
        <is>
          <t>Katalogpreis 05/2025</t>
        </is>
      </c>
      <c r="G73" s="1" t="n">
        <v>2700</v>
      </c>
      <c r="J73">
        <f>IF(OR(H73="",I73=""),"",ROUND(H73*I73/1000000,2))</f>
        <v/>
      </c>
      <c r="K73" s="1">
        <f>IF(G73="","",ROUND(G73*(1-IF(G73&lt;=300,Annahmen!$B$2,IF(G73&lt;=1000,Annahmen!$B$3,IF(G73&lt;=3000,Annahmen!$B$4,Annahmen!$B$5))))/Annahmen!$B$6,0)*Annahmen!$B$6)</f>
        <v/>
      </c>
      <c r="L73" s="2" t="n"/>
      <c r="M73" s="3">
        <f>IF(OR(G73="",L73=""),"",1-L73/G73)</f>
        <v/>
      </c>
      <c r="N73" t="n">
        <v>5</v>
      </c>
      <c r="O73" t="n">
        <v>8</v>
      </c>
      <c r="P73" s="1">
        <f>N73*Annahmen!$B$9</f>
        <v/>
      </c>
      <c r="Q73" s="1">
        <f>O73*Annahmen!$B$9</f>
        <v/>
      </c>
      <c r="R73">
        <f>HYPERLINK(Annahmen!$B$11&amp;"#artikel/du-03-blue-lighthouse-shower","Stück öffnen")</f>
        <v/>
      </c>
      <c r="S73" t="inlineStr"/>
    </row>
    <row r="74">
      <c r="A74" t="inlineStr">
        <is>
          <t>DU 08</t>
        </is>
      </c>
      <c r="B74" t="inlineStr">
        <is>
          <t>Duschen</t>
        </is>
      </c>
      <c r="C74" t="inlineStr">
        <is>
          <t>Glasdusche Grün mit Gräsermotiv 149 × 100 × 208 cm</t>
        </is>
      </c>
      <c r="D74" t="inlineStr">
        <is>
          <t>149 × 100 × 208 cm · Glastrennwand · Glasrückwände · ohne Armaturen</t>
        </is>
      </c>
      <c r="E74" t="inlineStr">
        <is>
          <t>verfügbar</t>
        </is>
      </c>
      <c r="F74" t="inlineStr">
        <is>
          <t>Katalogpreis 05/2025</t>
        </is>
      </c>
      <c r="G74" s="1" t="n">
        <v>2700</v>
      </c>
      <c r="J74">
        <f>IF(OR(H74="",I74=""),"",ROUND(H74*I74/1000000,2))</f>
        <v/>
      </c>
      <c r="K74" s="1">
        <f>IF(G74="","",ROUND(G74*(1-IF(G74&lt;=300,Annahmen!$B$2,IF(G74&lt;=1000,Annahmen!$B$3,IF(G74&lt;=3000,Annahmen!$B$4,Annahmen!$B$5))))/Annahmen!$B$6,0)*Annahmen!$B$6)</f>
        <v/>
      </c>
      <c r="L74" s="2" t="n"/>
      <c r="M74" s="3">
        <f>IF(OR(G74="",L74=""),"",1-L74/G74)</f>
        <v/>
      </c>
      <c r="N74" t="n">
        <v>5</v>
      </c>
      <c r="O74" t="n">
        <v>8</v>
      </c>
      <c r="P74" s="1">
        <f>N74*Annahmen!$B$9</f>
        <v/>
      </c>
      <c r="Q74" s="1">
        <f>O74*Annahmen!$B$9</f>
        <v/>
      </c>
      <c r="R74">
        <f>HYPERLINK(Annahmen!$B$11&amp;"#artikel/du-08-green-glass-shower","Stück öffnen")</f>
        <v/>
      </c>
      <c r="S74" t="inlineStr"/>
    </row>
    <row r="75">
      <c r="A75" t="inlineStr">
        <is>
          <t>DU 09</t>
        </is>
      </c>
      <c r="B75" t="inlineStr">
        <is>
          <t>Duschen</t>
        </is>
      </c>
      <c r="C75" t="inlineStr">
        <is>
          <t>Glasdusche Orange mit Schiebetüren</t>
        </is>
      </c>
      <c r="D75" t="inlineStr">
        <is>
          <t>Schiebetüren und Rückwände · Masse auf Anfrage · ohne Armaturen · Komplettpreis</t>
        </is>
      </c>
      <c r="E75" t="inlineStr">
        <is>
          <t>verfügbar</t>
        </is>
      </c>
      <c r="F75" t="inlineStr">
        <is>
          <t>Katalogpreis 05/2025</t>
        </is>
      </c>
      <c r="G75" s="1" t="n">
        <v>5000</v>
      </c>
      <c r="J75">
        <f>IF(OR(H75="",I75=""),"",ROUND(H75*I75/1000000,2))</f>
        <v/>
      </c>
      <c r="K75" s="1">
        <f>IF(G75="","",ROUND(G75*(1-IF(G75&lt;=300,Annahmen!$B$2,IF(G75&lt;=1000,Annahmen!$B$3,IF(G75&lt;=3000,Annahmen!$B$4,Annahmen!$B$5))))/Annahmen!$B$6,0)*Annahmen!$B$6)</f>
        <v/>
      </c>
      <c r="L75" s="2" t="n"/>
      <c r="M75" s="3">
        <f>IF(OR(G75="",L75=""),"",1-L75/G75)</f>
        <v/>
      </c>
      <c r="N75" t="n">
        <v>5</v>
      </c>
      <c r="O75" t="n">
        <v>8</v>
      </c>
      <c r="P75" s="1">
        <f>N75*Annahmen!$B$9</f>
        <v/>
      </c>
      <c r="Q75" s="1">
        <f>O75*Annahmen!$B$9</f>
        <v/>
      </c>
      <c r="R75">
        <f>HYPERLINK(Annahmen!$B$11&amp;"#artikel/du-09-orange-sliding-shower","Stück öffnen")</f>
        <v/>
      </c>
      <c r="S75" t="inlineStr"/>
    </row>
    <row r="76">
      <c r="A76" t="inlineStr">
        <is>
          <t>TI 07</t>
        </is>
      </c>
      <c r="B76" t="inlineStr">
        <is>
          <t>Tische &amp; Möbel</t>
        </is>
      </c>
      <c r="C76" t="inlineStr">
        <is>
          <t>Runder Glastisch Ø 110 cm mit Edelstahlgestell und 3 Stühlen</t>
        </is>
      </c>
      <c r="D76" t="inlineStr">
        <is>
          <t>Glasplatte Ø 110 cm · Edelstahlgestell · 3 Stühle Kunststoff</t>
        </is>
      </c>
      <c r="E76" t="inlineStr">
        <is>
          <t>verfügbar</t>
        </is>
      </c>
      <c r="F76" t="inlineStr">
        <is>
          <t>Katalogpreis 05/2025</t>
        </is>
      </c>
      <c r="G76" s="1" t="n">
        <v>1000</v>
      </c>
      <c r="J76">
        <f>IF(OR(H76="",I76=""),"",ROUND(H76*I76/1000000,2))</f>
        <v/>
      </c>
      <c r="K76" s="1">
        <f>IF(G76="","",ROUND(G76*(1-IF(G76&lt;=300,Annahmen!$B$2,IF(G76&lt;=1000,Annahmen!$B$3,IF(G76&lt;=3000,Annahmen!$B$4,Annahmen!$B$5))))/Annahmen!$B$6,0)*Annahmen!$B$6)</f>
        <v/>
      </c>
      <c r="L76" s="2" t="n"/>
      <c r="M76" s="3">
        <f>IF(OR(G76="",L76=""),"",1-L76/G76)</f>
        <v/>
      </c>
      <c r="N76" t="n">
        <v>1</v>
      </c>
      <c r="O76" t="n">
        <v>2</v>
      </c>
      <c r="P76" s="1">
        <f>N76*Annahmen!$B$9</f>
        <v/>
      </c>
      <c r="Q76" s="1">
        <f>O76*Annahmen!$B$9</f>
        <v/>
      </c>
      <c r="R76">
        <f>HYPERLINK(Annahmen!$B$11&amp;"#artikel/ti-07-round-glass-table-and-chairs","Stück öffnen")</f>
        <v/>
      </c>
      <c r="S76" t="inlineStr"/>
    </row>
    <row r="77">
      <c r="A77" s="4" t="inlineStr">
        <is>
          <t>TI 05</t>
        </is>
      </c>
      <c r="B77" s="4" t="inlineStr">
        <is>
          <t>Tische &amp; Möbel</t>
        </is>
      </c>
      <c r="C77" s="4" t="inlineStr">
        <is>
          <t>Glastisch 273 × 101 cm mit Edelstahl-Untergestell</t>
        </is>
      </c>
      <c r="D77" s="4" t="inlineStr">
        <is>
          <t>273 × 101 × 73 cm · Edelstahl-Untergestell</t>
        </is>
      </c>
      <c r="E77" s="4" t="inlineStr">
        <is>
          <t>verkauft</t>
        </is>
      </c>
      <c r="F77" s="4" t="inlineStr">
        <is>
          <t>Katalogpreis 05/2025</t>
        </is>
      </c>
      <c r="G77" s="5" t="n">
        <v>1900</v>
      </c>
      <c r="H77" s="4" t="n"/>
      <c r="I77" s="4" t="n"/>
      <c r="J77" s="4">
        <f>IF(OR(H77="",I77=""),"",ROUND(H77*I77/1000000,2))</f>
        <v/>
      </c>
      <c r="K77" s="5" t="inlineStr"/>
      <c r="L77" s="5" t="n"/>
      <c r="M77" s="6">
        <f>IF(OR(G77="",L77=""),"",1-L77/G77)</f>
        <v/>
      </c>
      <c r="N77" s="4" t="n">
        <v>1</v>
      </c>
      <c r="O77" s="4" t="n">
        <v>2</v>
      </c>
      <c r="P77" s="5">
        <f>N77*Annahmen!$B$9</f>
        <v/>
      </c>
      <c r="Q77" s="5">
        <f>O77*Annahmen!$B$9</f>
        <v/>
      </c>
      <c r="R77" s="4">
        <f>HYPERLINK(Annahmen!$B$11&amp;"#artikel/ti-05-glass-table","Stück öffnen")</f>
        <v/>
      </c>
      <c r="S77" s="4" t="inlineStr">
        <is>
          <t>Verkauft – nur Dokumentation</t>
        </is>
      </c>
    </row>
    <row r="78">
      <c r="A78" t="inlineStr">
        <is>
          <t>TI 06</t>
        </is>
      </c>
      <c r="B78" t="inlineStr">
        <is>
          <t>Tische &amp; Möbel</t>
        </is>
      </c>
      <c r="C78" t="inlineStr">
        <is>
          <t>Bambustisch 179 × 89 cm mit Glaseinlage</t>
        </is>
      </c>
      <c r="D78" t="inlineStr">
        <is>
          <t>179 × 89 cm · Bambus · Glasplatte</t>
        </is>
      </c>
      <c r="E78" t="inlineStr">
        <is>
          <t>verfügbar</t>
        </is>
      </c>
      <c r="F78" t="inlineStr">
        <is>
          <t>Katalogpreis 05/2025</t>
        </is>
      </c>
      <c r="G78" s="1" t="n">
        <v>1500</v>
      </c>
      <c r="J78">
        <f>IF(OR(H78="",I78=""),"",ROUND(H78*I78/1000000,2))</f>
        <v/>
      </c>
      <c r="K78" s="1">
        <f>IF(G78="","",ROUND(G78*(1-IF(G78&lt;=300,Annahmen!$B$2,IF(G78&lt;=1000,Annahmen!$B$3,IF(G78&lt;=3000,Annahmen!$B$4,Annahmen!$B$5))))/Annahmen!$B$6,0)*Annahmen!$B$6)</f>
        <v/>
      </c>
      <c r="L78" s="2" t="n"/>
      <c r="M78" s="3">
        <f>IF(OR(G78="",L78=""),"",1-L78/G78)</f>
        <v/>
      </c>
      <c r="N78" t="n">
        <v>1</v>
      </c>
      <c r="O78" t="n">
        <v>2</v>
      </c>
      <c r="P78" s="1">
        <f>N78*Annahmen!$B$9</f>
        <v/>
      </c>
      <c r="Q78" s="1">
        <f>O78*Annahmen!$B$9</f>
        <v/>
      </c>
      <c r="R78">
        <f>HYPERLINK(Annahmen!$B$11&amp;"#artikel/ti-06-bamboo-glass-table","Stück öffnen")</f>
        <v/>
      </c>
      <c r="S78" t="inlineStr"/>
    </row>
    <row r="79">
      <c r="A79" t="inlineStr">
        <is>
          <t>TI 01</t>
        </is>
      </c>
      <c r="B79" t="inlineStr">
        <is>
          <t>Tische &amp; Möbel</t>
        </is>
      </c>
      <c r="C79" t="inlineStr">
        <is>
          <t>Esstisch 200 × 95 cm, Strukturglas auf Edelstahl</t>
        </is>
      </c>
      <c r="D79" t="inlineStr">
        <is>
          <t>200 × 95 cm · Untergestell Edelstahl</t>
        </is>
      </c>
      <c r="E79" t="inlineStr">
        <is>
          <t>verfügbar</t>
        </is>
      </c>
      <c r="F79" t="inlineStr">
        <is>
          <t>Katalogpreis 05/2025</t>
        </is>
      </c>
      <c r="G79" s="1" t="n">
        <v>1710</v>
      </c>
      <c r="J79">
        <f>IF(OR(H79="",I79=""),"",ROUND(H79*I79/1000000,2))</f>
        <v/>
      </c>
      <c r="K79" s="1">
        <f>IF(G79="","",ROUND(G79*(1-IF(G79&lt;=300,Annahmen!$B$2,IF(G79&lt;=1000,Annahmen!$B$3,IF(G79&lt;=3000,Annahmen!$B$4,Annahmen!$B$5))))/Annahmen!$B$6,0)*Annahmen!$B$6)</f>
        <v/>
      </c>
      <c r="L79" s="2" t="n"/>
      <c r="M79" s="3">
        <f>IF(OR(G79="",L79=""),"",1-L79/G79)</f>
        <v/>
      </c>
      <c r="N79" t="n">
        <v>1</v>
      </c>
      <c r="O79" t="n">
        <v>2</v>
      </c>
      <c r="P79" s="1">
        <f>N79*Annahmen!$B$9</f>
        <v/>
      </c>
      <c r="Q79" s="1">
        <f>O79*Annahmen!$B$9</f>
        <v/>
      </c>
      <c r="R79">
        <f>HYPERLINK(Annahmen!$B$11&amp;"#artikel/ti-01-glass-table","Stück öffnen")</f>
        <v/>
      </c>
      <c r="S79" t="inlineStr"/>
    </row>
    <row r="80">
      <c r="A80" t="inlineStr">
        <is>
          <t>TI 02</t>
        </is>
      </c>
      <c r="B80" t="inlineStr">
        <is>
          <t>Tische &amp; Möbel</t>
        </is>
      </c>
      <c r="C80" t="inlineStr">
        <is>
          <t>Esstisch 195 × 95 cm, Strukturglas auf Edelstahl</t>
        </is>
      </c>
      <c r="D80" t="inlineStr">
        <is>
          <t>195 × 95 cm · Untergestell Edelstahl</t>
        </is>
      </c>
      <c r="E80" t="inlineStr">
        <is>
          <t>verfügbar</t>
        </is>
      </c>
      <c r="F80" t="inlineStr">
        <is>
          <t>Katalogpreis 05/2025</t>
        </is>
      </c>
      <c r="G80" s="1" t="n">
        <v>1710</v>
      </c>
      <c r="J80">
        <f>IF(OR(H80="",I80=""),"",ROUND(H80*I80/1000000,2))</f>
        <v/>
      </c>
      <c r="K80" s="1">
        <f>IF(G80="","",ROUND(G80*(1-IF(G80&lt;=300,Annahmen!$B$2,IF(G80&lt;=1000,Annahmen!$B$3,IF(G80&lt;=3000,Annahmen!$B$4,Annahmen!$B$5))))/Annahmen!$B$6,0)*Annahmen!$B$6)</f>
        <v/>
      </c>
      <c r="L80" s="2" t="n"/>
      <c r="M80" s="3">
        <f>IF(OR(G80="",L80=""),"",1-L80/G80)</f>
        <v/>
      </c>
      <c r="N80" t="n">
        <v>1</v>
      </c>
      <c r="O80" t="n">
        <v>2</v>
      </c>
      <c r="P80" s="1">
        <f>N80*Annahmen!$B$9</f>
        <v/>
      </c>
      <c r="Q80" s="1">
        <f>O80*Annahmen!$B$9</f>
        <v/>
      </c>
      <c r="R80">
        <f>HYPERLINK(Annahmen!$B$11&amp;"#artikel/ti-02-glass-table","Stück öffnen")</f>
        <v/>
      </c>
      <c r="S80" t="inlineStr"/>
    </row>
    <row r="81">
      <c r="A81" t="inlineStr">
        <is>
          <t>TW 05</t>
        </is>
      </c>
      <c r="B81" t="inlineStr">
        <is>
          <t>Glastrennwände</t>
        </is>
      </c>
      <c r="C81" t="inlineStr">
        <is>
          <t>Glastrennwand 60,5 × 195,8 cm mit Delfinen</t>
        </is>
      </c>
      <c r="D81" t="inlineStr">
        <is>
          <t>60,5 × 195,8 cm · Delfinmotiv</t>
        </is>
      </c>
      <c r="E81" t="inlineStr">
        <is>
          <t>verfügbar</t>
        </is>
      </c>
      <c r="F81" t="inlineStr">
        <is>
          <t>Katalogpreis 05/2025</t>
        </is>
      </c>
      <c r="G81" s="1" t="n">
        <v>500</v>
      </c>
      <c r="J81">
        <f>IF(OR(H81="",I81=""),"",ROUND(H81*I81/1000000,2))</f>
        <v/>
      </c>
      <c r="K81" s="1">
        <f>IF(G81="","",ROUND(G81*(1-IF(G81&lt;=300,Annahmen!$B$2,IF(G81&lt;=1000,Annahmen!$B$3,IF(G81&lt;=3000,Annahmen!$B$4,Annahmen!$B$5))))/Annahmen!$B$6,0)*Annahmen!$B$6)</f>
        <v/>
      </c>
      <c r="L81" s="2" t="n"/>
      <c r="M81" s="3">
        <f>IF(OR(G81="",L81=""),"",1-L81/G81)</f>
        <v/>
      </c>
      <c r="N81" t="n">
        <v>2</v>
      </c>
      <c r="O81" t="n">
        <v>4</v>
      </c>
      <c r="P81" s="1">
        <f>N81*Annahmen!$B$9</f>
        <v/>
      </c>
      <c r="Q81" s="1">
        <f>O81*Annahmen!$B$9</f>
        <v/>
      </c>
      <c r="R81">
        <f>HYPERLINK(Annahmen!$B$11&amp;"#artikel/tw-05-dolphin-glass-partition","Stück öffnen")</f>
        <v/>
      </c>
      <c r="S81" t="inlineStr"/>
    </row>
    <row r="82">
      <c r="A82" t="inlineStr">
        <is>
          <t>TW 01</t>
        </is>
      </c>
      <c r="B82" t="inlineStr">
        <is>
          <t>Glastrennwände</t>
        </is>
      </c>
      <c r="C82" t="inlineStr">
        <is>
          <t>Gebogene Glastrennwand 134 × 195 cm mit Orcas</t>
        </is>
      </c>
      <c r="D82" t="inlineStr">
        <is>
          <t>134 × 195 cm · gebogen · Orcamotiv</t>
        </is>
      </c>
      <c r="E82" t="inlineStr">
        <is>
          <t>verfügbar</t>
        </is>
      </c>
      <c r="F82" t="inlineStr">
        <is>
          <t>Katalogpreis 05/2025</t>
        </is>
      </c>
      <c r="G82" s="1" t="n">
        <v>1900</v>
      </c>
      <c r="J82">
        <f>IF(OR(H82="",I82=""),"",ROUND(H82*I82/1000000,2))</f>
        <v/>
      </c>
      <c r="K82" s="1">
        <f>IF(G82="","",ROUND(G82*(1-IF(G82&lt;=300,Annahmen!$B$2,IF(G82&lt;=1000,Annahmen!$B$3,IF(G82&lt;=3000,Annahmen!$B$4,Annahmen!$B$5))))/Annahmen!$B$6,0)*Annahmen!$B$6)</f>
        <v/>
      </c>
      <c r="L82" s="2" t="n"/>
      <c r="M82" s="3">
        <f>IF(OR(G82="",L82=""),"",1-L82/G82)</f>
        <v/>
      </c>
      <c r="N82" t="n">
        <v>2</v>
      </c>
      <c r="O82" t="n">
        <v>4</v>
      </c>
      <c r="P82" s="1">
        <f>N82*Annahmen!$B$9</f>
        <v/>
      </c>
      <c r="Q82" s="1">
        <f>O82*Annahmen!$B$9</f>
        <v/>
      </c>
      <c r="R82">
        <f>HYPERLINK(Annahmen!$B$11&amp;"#artikel/tw-01-curved-orca-glass-partition","Stück öffnen")</f>
        <v/>
      </c>
      <c r="S82" t="inlineStr"/>
    </row>
    <row r="83">
      <c r="A83" t="inlineStr">
        <is>
          <t>TW 06</t>
        </is>
      </c>
      <c r="B83" t="inlineStr">
        <is>
          <t>Glastrennwände</t>
        </is>
      </c>
      <c r="C83" t="inlineStr">
        <is>
          <t>Glastrennwand 60,5 × 195,8 cm, Strukturglas</t>
        </is>
      </c>
      <c r="D83" t="inlineStr">
        <is>
          <t>60,55 × 195,8 cm · Strukturglas</t>
        </is>
      </c>
      <c r="E83" t="inlineStr">
        <is>
          <t>verfügbar</t>
        </is>
      </c>
      <c r="F83" t="inlineStr">
        <is>
          <t>Katalogpreis 05/2025</t>
        </is>
      </c>
      <c r="G83" s="1" t="n">
        <v>500</v>
      </c>
      <c r="J83">
        <f>IF(OR(H83="",I83=""),"",ROUND(H83*I83/1000000,2))</f>
        <v/>
      </c>
      <c r="K83" s="1">
        <f>IF(G83="","",ROUND(G83*(1-IF(G83&lt;=300,Annahmen!$B$2,IF(G83&lt;=1000,Annahmen!$B$3,IF(G83&lt;=3000,Annahmen!$B$4,Annahmen!$B$5))))/Annahmen!$B$6,0)*Annahmen!$B$6)</f>
        <v/>
      </c>
      <c r="L83" s="2" t="n"/>
      <c r="M83" s="3">
        <f>IF(OR(G83="",L83=""),"",1-L83/G83)</f>
        <v/>
      </c>
      <c r="N83" t="n">
        <v>2</v>
      </c>
      <c r="O83" t="n">
        <v>4</v>
      </c>
      <c r="P83" s="1">
        <f>N83*Annahmen!$B$9</f>
        <v/>
      </c>
      <c r="Q83" s="1">
        <f>O83*Annahmen!$B$9</f>
        <v/>
      </c>
      <c r="R83">
        <f>HYPERLINK(Annahmen!$B$11&amp;"#artikel/tw-06-glass-partition","Stück öffnen")</f>
        <v/>
      </c>
      <c r="S83" t="inlineStr"/>
    </row>
    <row r="84">
      <c r="A84" t="inlineStr">
        <is>
          <t>TW 09</t>
        </is>
      </c>
      <c r="B84" t="inlineStr">
        <is>
          <t>Glastrennwände</t>
        </is>
      </c>
      <c r="C84" t="inlineStr">
        <is>
          <t>Glastrennwand 90 × 207 cm mit Rundbogen</t>
        </is>
      </c>
      <c r="D84" t="inlineStr">
        <is>
          <t>90 × 207 cm · Rundbogen · Strukturglas</t>
        </is>
      </c>
      <c r="E84" t="inlineStr">
        <is>
          <t>verfügbar</t>
        </is>
      </c>
      <c r="F84" t="inlineStr">
        <is>
          <t>Katalogpreis 05/2025</t>
        </is>
      </c>
      <c r="G84" s="1" t="n">
        <v>250</v>
      </c>
      <c r="J84">
        <f>IF(OR(H84="",I84=""),"",ROUND(H84*I84/1000000,2))</f>
        <v/>
      </c>
      <c r="K84" s="1">
        <f>IF(G84="","",ROUND(G84*(1-IF(G84&lt;=300,Annahmen!$B$2,IF(G84&lt;=1000,Annahmen!$B$3,IF(G84&lt;=3000,Annahmen!$B$4,Annahmen!$B$5))))/Annahmen!$B$6,0)*Annahmen!$B$6)</f>
        <v/>
      </c>
      <c r="L84" s="2" t="n"/>
      <c r="M84" s="3">
        <f>IF(OR(G84="",L84=""),"",1-L84/G84)</f>
        <v/>
      </c>
      <c r="N84" t="n">
        <v>2</v>
      </c>
      <c r="O84" t="n">
        <v>4</v>
      </c>
      <c r="P84" s="1">
        <f>N84*Annahmen!$B$9</f>
        <v/>
      </c>
      <c r="Q84" s="1">
        <f>O84*Annahmen!$B$9</f>
        <v/>
      </c>
      <c r="R84">
        <f>HYPERLINK(Annahmen!$B$11&amp;"#artikel/tw-09-glass-partition","Stück öffnen")</f>
        <v/>
      </c>
      <c r="S84" t="inlineStr"/>
    </row>
    <row r="85">
      <c r="A85" t="inlineStr">
        <is>
          <t>TW 11</t>
        </is>
      </c>
      <c r="B85" t="inlineStr">
        <is>
          <t>Glastrennwände</t>
        </is>
      </c>
      <c r="C85" t="inlineStr">
        <is>
          <t>Glastrennwand 101 × 195,5 cm, Strukturglas</t>
        </is>
      </c>
      <c r="D85" t="inlineStr">
        <is>
          <t>101 × 195,5 cm · Strukturglas</t>
        </is>
      </c>
      <c r="E85" t="inlineStr">
        <is>
          <t>verfügbar</t>
        </is>
      </c>
      <c r="F85" t="inlineStr">
        <is>
          <t>Katalogpreis 05/2025</t>
        </is>
      </c>
      <c r="G85" s="1" t="n">
        <v>300</v>
      </c>
      <c r="J85">
        <f>IF(OR(H85="",I85=""),"",ROUND(H85*I85/1000000,2))</f>
        <v/>
      </c>
      <c r="K85" s="1">
        <f>IF(G85="","",ROUND(G85*(1-IF(G85&lt;=300,Annahmen!$B$2,IF(G85&lt;=1000,Annahmen!$B$3,IF(G85&lt;=3000,Annahmen!$B$4,Annahmen!$B$5))))/Annahmen!$B$6,0)*Annahmen!$B$6)</f>
        <v/>
      </c>
      <c r="L85" s="2" t="n"/>
      <c r="M85" s="3">
        <f>IF(OR(G85="",L85=""),"",1-L85/G85)</f>
        <v/>
      </c>
      <c r="N85" t="n">
        <v>2</v>
      </c>
      <c r="O85" t="n">
        <v>4</v>
      </c>
      <c r="P85" s="1">
        <f>N85*Annahmen!$B$9</f>
        <v/>
      </c>
      <c r="Q85" s="1">
        <f>O85*Annahmen!$B$9</f>
        <v/>
      </c>
      <c r="R85">
        <f>HYPERLINK(Annahmen!$B$11&amp;"#artikel/tw-11-glass-partition","Stück öffnen")</f>
        <v/>
      </c>
      <c r="S85" t="inlineStr"/>
    </row>
    <row r="86">
      <c r="A86" t="inlineStr">
        <is>
          <t>TW 08</t>
        </is>
      </c>
      <c r="B86" t="inlineStr">
        <is>
          <t>Glastrennwände</t>
        </is>
      </c>
      <c r="C86" t="inlineStr">
        <is>
          <t>Schmale Glastrennwand 41 × 195 cm</t>
        </is>
      </c>
      <c r="D86" t="inlineStr">
        <is>
          <t>41 × 195 cm · Strukturglas</t>
        </is>
      </c>
      <c r="E86" t="inlineStr">
        <is>
          <t>verfügbar</t>
        </is>
      </c>
      <c r="F86" t="inlineStr">
        <is>
          <t>Katalogpreis 05/2025</t>
        </is>
      </c>
      <c r="G86" s="1" t="n">
        <v>150</v>
      </c>
      <c r="J86">
        <f>IF(OR(H86="",I86=""),"",ROUND(H86*I86/1000000,2))</f>
        <v/>
      </c>
      <c r="K86" s="1">
        <f>IF(G86="","",ROUND(G86*(1-IF(G86&lt;=300,Annahmen!$B$2,IF(G86&lt;=1000,Annahmen!$B$3,IF(G86&lt;=3000,Annahmen!$B$4,Annahmen!$B$5))))/Annahmen!$B$6,0)*Annahmen!$B$6)</f>
        <v/>
      </c>
      <c r="L86" s="2" t="n"/>
      <c r="M86" s="3">
        <f>IF(OR(G86="",L86=""),"",1-L86/G86)</f>
        <v/>
      </c>
      <c r="N86" t="n">
        <v>2</v>
      </c>
      <c r="O86" t="n">
        <v>4</v>
      </c>
      <c r="P86" s="1">
        <f>N86*Annahmen!$B$9</f>
        <v/>
      </c>
      <c r="Q86" s="1">
        <f>O86*Annahmen!$B$9</f>
        <v/>
      </c>
      <c r="R86">
        <f>HYPERLINK(Annahmen!$B$11&amp;"#artikel/tw-08-glass-partition","Stück öffnen")</f>
        <v/>
      </c>
      <c r="S86" t="inlineStr"/>
    </row>
    <row r="87">
      <c r="A87" t="inlineStr">
        <is>
          <t>TW 12</t>
        </is>
      </c>
      <c r="B87" t="inlineStr">
        <is>
          <t>Glastrennwände</t>
        </is>
      </c>
      <c r="C87" t="inlineStr">
        <is>
          <t>Glastrennwand 92,5 × 201 cm mit gelben Einschlüssen</t>
        </is>
      </c>
      <c r="D87" t="inlineStr">
        <is>
          <t>92,5 × 201 cm · geschwungen · gelbe Einschlüsse</t>
        </is>
      </c>
      <c r="E87" t="inlineStr">
        <is>
          <t>verfügbar</t>
        </is>
      </c>
      <c r="F87" t="inlineStr">
        <is>
          <t>Katalogpreis 05/2025</t>
        </is>
      </c>
      <c r="G87" s="1" t="n">
        <v>300</v>
      </c>
      <c r="J87">
        <f>IF(OR(H87="",I87=""),"",ROUND(H87*I87/1000000,2))</f>
        <v/>
      </c>
      <c r="K87" s="1">
        <f>IF(G87="","",ROUND(G87*(1-IF(G87&lt;=300,Annahmen!$B$2,IF(G87&lt;=1000,Annahmen!$B$3,IF(G87&lt;=3000,Annahmen!$B$4,Annahmen!$B$5))))/Annahmen!$B$6,0)*Annahmen!$B$6)</f>
        <v/>
      </c>
      <c r="L87" s="2" t="n"/>
      <c r="M87" s="3">
        <f>IF(OR(G87="",L87=""),"",1-L87/G87)</f>
        <v/>
      </c>
      <c r="N87" t="n">
        <v>2</v>
      </c>
      <c r="O87" t="n">
        <v>4</v>
      </c>
      <c r="P87" s="1">
        <f>N87*Annahmen!$B$9</f>
        <v/>
      </c>
      <c r="Q87" s="1">
        <f>O87*Annahmen!$B$9</f>
        <v/>
      </c>
      <c r="R87">
        <f>HYPERLINK(Annahmen!$B$11&amp;"#artikel/tw-12-glass-partition","Stück öffnen")</f>
        <v/>
      </c>
      <c r="S87" t="inlineStr"/>
    </row>
    <row r="88">
      <c r="A88" t="inlineStr">
        <is>
          <t>TW 13</t>
        </is>
      </c>
      <c r="B88" t="inlineStr">
        <is>
          <t>Glastrennwände</t>
        </is>
      </c>
      <c r="C88" t="inlineStr">
        <is>
          <t>Glastrennwand 143 × 180 cm, Strukturglas</t>
        </is>
      </c>
      <c r="D88" t="inlineStr">
        <is>
          <t>143 × 180 cm · Strukturglas</t>
        </is>
      </c>
      <c r="E88" t="inlineStr">
        <is>
          <t>verfügbar</t>
        </is>
      </c>
      <c r="F88" t="inlineStr">
        <is>
          <t>Katalogpreis 05/2025</t>
        </is>
      </c>
      <c r="G88" s="1" t="n">
        <v>1100</v>
      </c>
      <c r="J88">
        <f>IF(OR(H88="",I88=""),"",ROUND(H88*I88/1000000,2))</f>
        <v/>
      </c>
      <c r="K88" s="1">
        <f>IF(G88="","",ROUND(G88*(1-IF(G88&lt;=300,Annahmen!$B$2,IF(G88&lt;=1000,Annahmen!$B$3,IF(G88&lt;=3000,Annahmen!$B$4,Annahmen!$B$5))))/Annahmen!$B$6,0)*Annahmen!$B$6)</f>
        <v/>
      </c>
      <c r="L88" s="2" t="n"/>
      <c r="M88" s="3">
        <f>IF(OR(G88="",L88=""),"",1-L88/G88)</f>
        <v/>
      </c>
      <c r="N88" t="n">
        <v>2</v>
      </c>
      <c r="O88" t="n">
        <v>4</v>
      </c>
      <c r="P88" s="1">
        <f>N88*Annahmen!$B$9</f>
        <v/>
      </c>
      <c r="Q88" s="1">
        <f>O88*Annahmen!$B$9</f>
        <v/>
      </c>
      <c r="R88">
        <f>HYPERLINK(Annahmen!$B$11&amp;"#artikel/tw-13-glass-partition","Stück öffnen")</f>
        <v/>
      </c>
      <c r="S88" t="inlineStr"/>
    </row>
    <row r="89">
      <c r="A89" t="inlineStr">
        <is>
          <t>TW 16</t>
        </is>
      </c>
      <c r="B89" t="inlineStr">
        <is>
          <t>Glastrennwände</t>
        </is>
      </c>
      <c r="C89" t="inlineStr">
        <is>
          <t>Glastrennwand 50,5 × 197 cm, Strukturglas</t>
        </is>
      </c>
      <c r="D89" t="inlineStr">
        <is>
          <t>50,5 × 197 cm · Strukturglas</t>
        </is>
      </c>
      <c r="E89" t="inlineStr">
        <is>
          <t>verfügbar</t>
        </is>
      </c>
      <c r="F89" t="inlineStr">
        <is>
          <t>Katalogpreis 05/2025</t>
        </is>
      </c>
      <c r="G89" s="1" t="n">
        <v>100</v>
      </c>
      <c r="J89">
        <f>IF(OR(H89="",I89=""),"",ROUND(H89*I89/1000000,2))</f>
        <v/>
      </c>
      <c r="K89" s="1">
        <f>IF(G89="","",ROUND(G89*(1-IF(G89&lt;=300,Annahmen!$B$2,IF(G89&lt;=1000,Annahmen!$B$3,IF(G89&lt;=3000,Annahmen!$B$4,Annahmen!$B$5))))/Annahmen!$B$6,0)*Annahmen!$B$6)</f>
        <v/>
      </c>
      <c r="L89" s="2" t="n"/>
      <c r="M89" s="3">
        <f>IF(OR(G89="",L89=""),"",1-L89/G89)</f>
        <v/>
      </c>
      <c r="N89" t="n">
        <v>2</v>
      </c>
      <c r="O89" t="n">
        <v>4</v>
      </c>
      <c r="P89" s="1">
        <f>N89*Annahmen!$B$9</f>
        <v/>
      </c>
      <c r="Q89" s="1">
        <f>O89*Annahmen!$B$9</f>
        <v/>
      </c>
      <c r="R89">
        <f>HYPERLINK(Annahmen!$B$11&amp;"#artikel/tw-16-glass-partition","Stück öffnen")</f>
        <v/>
      </c>
      <c r="S89" t="inlineStr"/>
    </row>
    <row r="90">
      <c r="A90" t="inlineStr">
        <is>
          <t>TW 17</t>
        </is>
      </c>
      <c r="B90" t="inlineStr">
        <is>
          <t>Glastrennwände</t>
        </is>
      </c>
      <c r="C90" t="inlineStr">
        <is>
          <t>LED-Glastrennwand 111 × 199 cm mit Mohnblumen</t>
        </is>
      </c>
      <c r="D90" t="inlineStr">
        <is>
          <t>111 × 199 cm · Mohnblumenmotiv · LED-Kante</t>
        </is>
      </c>
      <c r="E90" t="inlineStr">
        <is>
          <t>verfügbar</t>
        </is>
      </c>
      <c r="F90" t="inlineStr">
        <is>
          <t>Katalogpreis 05/2025</t>
        </is>
      </c>
      <c r="G90" s="1" t="n">
        <v>1390</v>
      </c>
      <c r="J90">
        <f>IF(OR(H90="",I90=""),"",ROUND(H90*I90/1000000,2))</f>
        <v/>
      </c>
      <c r="K90" s="1">
        <f>IF(G90="","",ROUND(G90*(1-IF(G90&lt;=300,Annahmen!$B$2,IF(G90&lt;=1000,Annahmen!$B$3,IF(G90&lt;=3000,Annahmen!$B$4,Annahmen!$B$5))))/Annahmen!$B$6,0)*Annahmen!$B$6)</f>
        <v/>
      </c>
      <c r="L90" s="2" t="n"/>
      <c r="M90" s="3">
        <f>IF(OR(G90="",L90=""),"",1-L90/G90)</f>
        <v/>
      </c>
      <c r="N90" t="n">
        <v>2</v>
      </c>
      <c r="O90" t="n">
        <v>4</v>
      </c>
      <c r="P90" s="1">
        <f>N90*Annahmen!$B$9</f>
        <v/>
      </c>
      <c r="Q90" s="1">
        <f>O90*Annahmen!$B$9</f>
        <v/>
      </c>
      <c r="R90">
        <f>HYPERLINK(Annahmen!$B$11&amp;"#artikel/tw-17-glass-partition","Stück öffnen")</f>
        <v/>
      </c>
      <c r="S90" t="inlineStr"/>
    </row>
    <row r="91">
      <c r="A91" s="4" t="inlineStr">
        <is>
          <t>GL 01</t>
        </is>
      </c>
      <c r="B91" s="4" t="inlineStr">
        <is>
          <t>Glastrennwände</t>
        </is>
      </c>
      <c r="C91" s="4" t="inlineStr">
        <is>
          <t>Glastrennwand 76 × 191 cm, Strukturglas</t>
        </is>
      </c>
      <c r="D91" s="4" t="inlineStr">
        <is>
          <t>76 × 191 cm · Strukturglas</t>
        </is>
      </c>
      <c r="E91" s="4" t="inlineStr">
        <is>
          <t>verkauft</t>
        </is>
      </c>
      <c r="F91" s="4" t="inlineStr">
        <is>
          <t>Katalogpreis 05/2025</t>
        </is>
      </c>
      <c r="G91" s="5" t="n">
        <v>500</v>
      </c>
      <c r="H91" s="4" t="n"/>
      <c r="I91" s="4" t="n"/>
      <c r="J91" s="4">
        <f>IF(OR(H91="",I91=""),"",ROUND(H91*I91/1000000,2))</f>
        <v/>
      </c>
      <c r="K91" s="5" t="inlineStr"/>
      <c r="L91" s="5" t="n"/>
      <c r="M91" s="6">
        <f>IF(OR(G91="",L91=""),"",1-L91/G91)</f>
        <v/>
      </c>
      <c r="N91" s="4" t="n">
        <v>2</v>
      </c>
      <c r="O91" s="4" t="n">
        <v>4</v>
      </c>
      <c r="P91" s="5">
        <f>N91*Annahmen!$B$9</f>
        <v/>
      </c>
      <c r="Q91" s="5">
        <f>O91*Annahmen!$B$9</f>
        <v/>
      </c>
      <c r="R91" s="4">
        <f>HYPERLINK(Annahmen!$B$11&amp;"#artikel/gl-01-glass-panel","Stück öffnen")</f>
        <v/>
      </c>
      <c r="S91" s="4" t="inlineStr">
        <is>
          <t>Verkauft – nur Dokumentation</t>
        </is>
      </c>
    </row>
    <row r="92">
      <c r="A92" t="inlineStr">
        <is>
          <t>GL 02</t>
        </is>
      </c>
      <c r="B92" t="inlineStr">
        <is>
          <t>Glastrennwände</t>
        </is>
      </c>
      <c r="C92" t="inlineStr">
        <is>
          <t>Glastrennwand 76 × 203 cm, Strukturglas</t>
        </is>
      </c>
      <c r="D92" t="inlineStr">
        <is>
          <t>76 × 203 cm · Strukturglas</t>
        </is>
      </c>
      <c r="E92" t="inlineStr">
        <is>
          <t>verfügbar</t>
        </is>
      </c>
      <c r="F92" t="inlineStr">
        <is>
          <t>Katalogpreis 05/2025</t>
        </is>
      </c>
      <c r="G92" s="1" t="n">
        <v>800</v>
      </c>
      <c r="J92">
        <f>IF(OR(H92="",I92=""),"",ROUND(H92*I92/1000000,2))</f>
        <v/>
      </c>
      <c r="K92" s="1">
        <f>IF(G92="","",ROUND(G92*(1-IF(G92&lt;=300,Annahmen!$B$2,IF(G92&lt;=1000,Annahmen!$B$3,IF(G92&lt;=3000,Annahmen!$B$4,Annahmen!$B$5))))/Annahmen!$B$6,0)*Annahmen!$B$6)</f>
        <v/>
      </c>
      <c r="L92" s="2" t="n"/>
      <c r="M92" s="3">
        <f>IF(OR(G92="",L92=""),"",1-L92/G92)</f>
        <v/>
      </c>
      <c r="N92" t="n">
        <v>2</v>
      </c>
      <c r="O92" t="n">
        <v>4</v>
      </c>
      <c r="P92" s="1">
        <f>N92*Annahmen!$B$9</f>
        <v/>
      </c>
      <c r="Q92" s="1">
        <f>O92*Annahmen!$B$9</f>
        <v/>
      </c>
      <c r="R92">
        <f>HYPERLINK(Annahmen!$B$11&amp;"#artikel/gl-02-glass-panel","Stück öffnen")</f>
        <v/>
      </c>
      <c r="S92" t="inlineStr"/>
    </row>
    <row r="93">
      <c r="A93" t="inlineStr">
        <is>
          <t>GL 03</t>
        </is>
      </c>
      <c r="B93" t="inlineStr">
        <is>
          <t>Glastrennwände</t>
        </is>
      </c>
      <c r="C93" t="inlineStr">
        <is>
          <t>Glastrennwand 59 × 190,5 cm, Strukturglas</t>
        </is>
      </c>
      <c r="D93" t="inlineStr">
        <is>
          <t>59 × 190,5 cm · Strukturglas</t>
        </is>
      </c>
      <c r="E93" t="inlineStr">
        <is>
          <t>verfügbar</t>
        </is>
      </c>
      <c r="F93" t="inlineStr">
        <is>
          <t>Katalogpreis 05/2025</t>
        </is>
      </c>
      <c r="G93" s="1" t="n">
        <v>100</v>
      </c>
      <c r="J93">
        <f>IF(OR(H93="",I93=""),"",ROUND(H93*I93/1000000,2))</f>
        <v/>
      </c>
      <c r="K93" s="1">
        <f>IF(G93="","",ROUND(G93*(1-IF(G93&lt;=300,Annahmen!$B$2,IF(G93&lt;=1000,Annahmen!$B$3,IF(G93&lt;=3000,Annahmen!$B$4,Annahmen!$B$5))))/Annahmen!$B$6,0)*Annahmen!$B$6)</f>
        <v/>
      </c>
      <c r="L93" s="2" t="n"/>
      <c r="M93" s="3">
        <f>IF(OR(G93="",L93=""),"",1-L93/G93)</f>
        <v/>
      </c>
      <c r="N93" t="n">
        <v>2</v>
      </c>
      <c r="O93" t="n">
        <v>4</v>
      </c>
      <c r="P93" s="1">
        <f>N93*Annahmen!$B$9</f>
        <v/>
      </c>
      <c r="Q93" s="1">
        <f>O93*Annahmen!$B$9</f>
        <v/>
      </c>
      <c r="R93">
        <f>HYPERLINK(Annahmen!$B$11&amp;"#artikel/gl-03-glass-panel","Stück öffnen")</f>
        <v/>
      </c>
      <c r="S93" t="inlineStr"/>
    </row>
    <row r="94">
      <c r="A94" t="inlineStr">
        <is>
          <t>TÜ 01</t>
        </is>
      </c>
      <c r="B94" t="inlineStr">
        <is>
          <t>Glastüren</t>
        </is>
      </c>
      <c r="C94" t="inlineStr">
        <is>
          <t>Glastür 88,5 × 198 cm, Strukturglas</t>
        </is>
      </c>
      <c r="D94" t="inlineStr">
        <is>
          <t>88,5 × 198 cm · Strukturglas</t>
        </is>
      </c>
      <c r="E94" t="inlineStr">
        <is>
          <t>verfügbar</t>
        </is>
      </c>
      <c r="F94" t="inlineStr">
        <is>
          <t>Katalogpreis 05/2025</t>
        </is>
      </c>
      <c r="G94" s="1" t="n">
        <v>600</v>
      </c>
      <c r="J94">
        <f>IF(OR(H94="",I94=""),"",ROUND(H94*I94/1000000,2))</f>
        <v/>
      </c>
      <c r="K94" s="1">
        <f>IF(G94="","",ROUND(G94*(1-IF(G94&lt;=300,Annahmen!$B$2,IF(G94&lt;=1000,Annahmen!$B$3,IF(G94&lt;=3000,Annahmen!$B$4,Annahmen!$B$5))))/Annahmen!$B$6,0)*Annahmen!$B$6)</f>
        <v/>
      </c>
      <c r="L94" s="2" t="n"/>
      <c r="M94" s="3">
        <f>IF(OR(G94="",L94=""),"",1-L94/G94)</f>
        <v/>
      </c>
      <c r="N94" t="n">
        <v>2</v>
      </c>
      <c r="O94" t="n">
        <v>3</v>
      </c>
      <c r="P94" s="1">
        <f>N94*Annahmen!$B$9</f>
        <v/>
      </c>
      <c r="Q94" s="1">
        <f>O94*Annahmen!$B$9</f>
        <v/>
      </c>
      <c r="R94">
        <f>HYPERLINK(Annahmen!$B$11&amp;"#artikel/t-01-glass-door","Stück öffnen")</f>
        <v/>
      </c>
      <c r="S94" t="inlineStr"/>
    </row>
    <row r="95">
      <c r="A95" t="inlineStr">
        <is>
          <t>TÜ 03</t>
        </is>
      </c>
      <c r="B95" t="inlineStr">
        <is>
          <t>Glastüren</t>
        </is>
      </c>
      <c r="C95" t="inlineStr">
        <is>
          <t>Glastür 62 × 194,5 cm, Strukturglas</t>
        </is>
      </c>
      <c r="D95" t="inlineStr">
        <is>
          <t>62 × 194,5 cm · Strukturglas</t>
        </is>
      </c>
      <c r="E95" t="inlineStr">
        <is>
          <t>verfügbar</t>
        </is>
      </c>
      <c r="F95" t="inlineStr">
        <is>
          <t>Katalogpreis 05/2025</t>
        </is>
      </c>
      <c r="G95" s="1" t="n">
        <v>100</v>
      </c>
      <c r="J95">
        <f>IF(OR(H95="",I95=""),"",ROUND(H95*I95/1000000,2))</f>
        <v/>
      </c>
      <c r="K95" s="1">
        <f>IF(G95="","",ROUND(G95*(1-IF(G95&lt;=300,Annahmen!$B$2,IF(G95&lt;=1000,Annahmen!$B$3,IF(G95&lt;=3000,Annahmen!$B$4,Annahmen!$B$5))))/Annahmen!$B$6,0)*Annahmen!$B$6)</f>
        <v/>
      </c>
      <c r="L95" s="2" t="n"/>
      <c r="M95" s="3">
        <f>IF(OR(G95="",L95=""),"",1-L95/G95)</f>
        <v/>
      </c>
      <c r="N95" t="n">
        <v>2</v>
      </c>
      <c r="O95" t="n">
        <v>3</v>
      </c>
      <c r="P95" s="1">
        <f>N95*Annahmen!$B$9</f>
        <v/>
      </c>
      <c r="Q95" s="1">
        <f>O95*Annahmen!$B$9</f>
        <v/>
      </c>
      <c r="R95">
        <f>HYPERLINK(Annahmen!$B$11&amp;"#artikel/t-03-glass-door","Stück öffnen")</f>
        <v/>
      </c>
      <c r="S95" t="inlineStr"/>
    </row>
    <row r="96">
      <c r="A96" t="inlineStr">
        <is>
          <t>TÜ 04</t>
        </is>
      </c>
      <c r="B96" t="inlineStr">
        <is>
          <t>Glastüren</t>
        </is>
      </c>
      <c r="C96" t="inlineStr">
        <is>
          <t>Glastür 59 × 196,5 cm, Strukturglas</t>
        </is>
      </c>
      <c r="D96" t="inlineStr">
        <is>
          <t>59 × 196,5 cm · Strukturglas</t>
        </is>
      </c>
      <c r="E96" t="inlineStr">
        <is>
          <t>verfügbar</t>
        </is>
      </c>
      <c r="F96" t="inlineStr">
        <is>
          <t>Katalogpreis 05/2025</t>
        </is>
      </c>
      <c r="G96" s="1" t="n">
        <v>100</v>
      </c>
      <c r="J96">
        <f>IF(OR(H96="",I96=""),"",ROUND(H96*I96/1000000,2))</f>
        <v/>
      </c>
      <c r="K96" s="1">
        <f>IF(G96="","",ROUND(G96*(1-IF(G96&lt;=300,Annahmen!$B$2,IF(G96&lt;=1000,Annahmen!$B$3,IF(G96&lt;=3000,Annahmen!$B$4,Annahmen!$B$5))))/Annahmen!$B$6,0)*Annahmen!$B$6)</f>
        <v/>
      </c>
      <c r="L96" s="2" t="n"/>
      <c r="M96" s="3">
        <f>IF(OR(G96="",L96=""),"",1-L96/G96)</f>
        <v/>
      </c>
      <c r="N96" t="n">
        <v>2</v>
      </c>
      <c r="O96" t="n">
        <v>3</v>
      </c>
      <c r="P96" s="1">
        <f>N96*Annahmen!$B$9</f>
        <v/>
      </c>
      <c r="Q96" s="1">
        <f>O96*Annahmen!$B$9</f>
        <v/>
      </c>
      <c r="R96">
        <f>HYPERLINK(Annahmen!$B$11&amp;"#artikel/t-04-glass-door","Stück öffnen")</f>
        <v/>
      </c>
      <c r="S96" t="inlineStr"/>
    </row>
    <row r="97">
      <c r="A97" t="inlineStr">
        <is>
          <t>TÜ 05</t>
        </is>
      </c>
      <c r="B97" t="inlineStr">
        <is>
          <t>Glastüren</t>
        </is>
      </c>
      <c r="C97" t="inlineStr">
        <is>
          <t>Glastür 59 × 197,2 cm, Strukturglas</t>
        </is>
      </c>
      <c r="D97" t="inlineStr">
        <is>
          <t>59 × 197,2 cm · Strukturglas</t>
        </is>
      </c>
      <c r="E97" t="inlineStr">
        <is>
          <t>verfügbar</t>
        </is>
      </c>
      <c r="F97" t="inlineStr">
        <is>
          <t>Katalogpreis 05/2025</t>
        </is>
      </c>
      <c r="G97" s="1" t="n">
        <v>100</v>
      </c>
      <c r="J97">
        <f>IF(OR(H97="",I97=""),"",ROUND(H97*I97/1000000,2))</f>
        <v/>
      </c>
      <c r="K97" s="1">
        <f>IF(G97="","",ROUND(G97*(1-IF(G97&lt;=300,Annahmen!$B$2,IF(G97&lt;=1000,Annahmen!$B$3,IF(G97&lt;=3000,Annahmen!$B$4,Annahmen!$B$5))))/Annahmen!$B$6,0)*Annahmen!$B$6)</f>
        <v/>
      </c>
      <c r="L97" s="2" t="n"/>
      <c r="M97" s="3">
        <f>IF(OR(G97="",L97=""),"",1-L97/G97)</f>
        <v/>
      </c>
      <c r="N97" t="n">
        <v>2</v>
      </c>
      <c r="O97" t="n">
        <v>3</v>
      </c>
      <c r="P97" s="1">
        <f>N97*Annahmen!$B$9</f>
        <v/>
      </c>
      <c r="Q97" s="1">
        <f>O97*Annahmen!$B$9</f>
        <v/>
      </c>
      <c r="R97">
        <f>HYPERLINK(Annahmen!$B$11&amp;"#artikel/t-05-glass-door","Stück öffnen")</f>
        <v/>
      </c>
      <c r="S97" t="inlineStr"/>
    </row>
    <row r="98">
      <c r="A98" t="inlineStr">
        <is>
          <t>TÜ 06</t>
        </is>
      </c>
      <c r="B98" t="inlineStr">
        <is>
          <t>Glastüren</t>
        </is>
      </c>
      <c r="C98" t="inlineStr">
        <is>
          <t>Glastür 62 × 200,5 cm, Strukturglas</t>
        </is>
      </c>
      <c r="D98" t="inlineStr">
        <is>
          <t>62 × 200,5 cm · Strukturglas</t>
        </is>
      </c>
      <c r="E98" t="inlineStr">
        <is>
          <t>verfügbar</t>
        </is>
      </c>
      <c r="F98" t="inlineStr">
        <is>
          <t>Katalogpreis 05/2025</t>
        </is>
      </c>
      <c r="G98" s="1" t="n">
        <v>100</v>
      </c>
      <c r="J98">
        <f>IF(OR(H98="",I98=""),"",ROUND(H98*I98/1000000,2))</f>
        <v/>
      </c>
      <c r="K98" s="1">
        <f>IF(G98="","",ROUND(G98*(1-IF(G98&lt;=300,Annahmen!$B$2,IF(G98&lt;=1000,Annahmen!$B$3,IF(G98&lt;=3000,Annahmen!$B$4,Annahmen!$B$5))))/Annahmen!$B$6,0)*Annahmen!$B$6)</f>
        <v/>
      </c>
      <c r="L98" s="2" t="n"/>
      <c r="M98" s="3">
        <f>IF(OR(G98="",L98=""),"",1-L98/G98)</f>
        <v/>
      </c>
      <c r="N98" t="n">
        <v>2</v>
      </c>
      <c r="O98" t="n">
        <v>3</v>
      </c>
      <c r="P98" s="1">
        <f>N98*Annahmen!$B$9</f>
        <v/>
      </c>
      <c r="Q98" s="1">
        <f>O98*Annahmen!$B$9</f>
        <v/>
      </c>
      <c r="R98">
        <f>HYPERLINK(Annahmen!$B$11&amp;"#artikel/t-06-glass-door","Stück öffnen")</f>
        <v/>
      </c>
      <c r="S98" t="inlineStr"/>
    </row>
    <row r="99">
      <c r="A99" t="inlineStr">
        <is>
          <t>TÜ 08</t>
        </is>
      </c>
      <c r="B99" t="inlineStr">
        <is>
          <t>Glastüren</t>
        </is>
      </c>
      <c r="C99" t="inlineStr">
        <is>
          <t>Glastür 52 × 196,5 cm, Strukturglas</t>
        </is>
      </c>
      <c r="D99" t="inlineStr">
        <is>
          <t>52 × 196,5 cm · Strukturglas</t>
        </is>
      </c>
      <c r="E99" t="inlineStr">
        <is>
          <t>verfügbar</t>
        </is>
      </c>
      <c r="F99" t="inlineStr">
        <is>
          <t>Katalogpreis 05/2025</t>
        </is>
      </c>
      <c r="G99" s="1" t="n">
        <v>100</v>
      </c>
      <c r="J99">
        <f>IF(OR(H99="",I99=""),"",ROUND(H99*I99/1000000,2))</f>
        <v/>
      </c>
      <c r="K99" s="1">
        <f>IF(G99="","",ROUND(G99*(1-IF(G99&lt;=300,Annahmen!$B$2,IF(G99&lt;=1000,Annahmen!$B$3,IF(G99&lt;=3000,Annahmen!$B$4,Annahmen!$B$5))))/Annahmen!$B$6,0)*Annahmen!$B$6)</f>
        <v/>
      </c>
      <c r="L99" s="2" t="n"/>
      <c r="M99" s="3">
        <f>IF(OR(G99="",L99=""),"",1-L99/G99)</f>
        <v/>
      </c>
      <c r="N99" t="n">
        <v>2</v>
      </c>
      <c r="O99" t="n">
        <v>3</v>
      </c>
      <c r="P99" s="1">
        <f>N99*Annahmen!$B$9</f>
        <v/>
      </c>
      <c r="Q99" s="1">
        <f>O99*Annahmen!$B$9</f>
        <v/>
      </c>
      <c r="R99">
        <f>HYPERLINK(Annahmen!$B$11&amp;"#artikel/t-08-glass-door","Stück öffnen")</f>
        <v/>
      </c>
      <c r="S99" t="inlineStr"/>
    </row>
    <row r="100">
      <c r="A100" t="inlineStr">
        <is>
          <t>TÜ 09</t>
        </is>
      </c>
      <c r="B100" t="inlineStr">
        <is>
          <t>Glastüren</t>
        </is>
      </c>
      <c r="C100" t="inlineStr">
        <is>
          <t>Hohe Glastür 80,5 × 237 cm, Strukturglas</t>
        </is>
      </c>
      <c r="D100" t="inlineStr">
        <is>
          <t>80,5 × 237 cm · Strukturglas</t>
        </is>
      </c>
      <c r="E100" t="inlineStr">
        <is>
          <t>verfügbar</t>
        </is>
      </c>
      <c r="F100" t="inlineStr">
        <is>
          <t>Katalogpreis 05/2025</t>
        </is>
      </c>
      <c r="G100" s="1" t="n">
        <v>200</v>
      </c>
      <c r="J100">
        <f>IF(OR(H100="",I100=""),"",ROUND(H100*I100/1000000,2))</f>
        <v/>
      </c>
      <c r="K100" s="1">
        <f>IF(G100="","",ROUND(G100*(1-IF(G100&lt;=300,Annahmen!$B$2,IF(G100&lt;=1000,Annahmen!$B$3,IF(G100&lt;=3000,Annahmen!$B$4,Annahmen!$B$5))))/Annahmen!$B$6,0)*Annahmen!$B$6)</f>
        <v/>
      </c>
      <c r="L100" s="2" t="n"/>
      <c r="M100" s="3">
        <f>IF(OR(G100="",L100=""),"",1-L100/G100)</f>
        <v/>
      </c>
      <c r="N100" t="n">
        <v>2</v>
      </c>
      <c r="O100" t="n">
        <v>3</v>
      </c>
      <c r="P100" s="1">
        <f>N100*Annahmen!$B$9</f>
        <v/>
      </c>
      <c r="Q100" s="1">
        <f>O100*Annahmen!$B$9</f>
        <v/>
      </c>
      <c r="R100">
        <f>HYPERLINK(Annahmen!$B$11&amp;"#artikel/t-09-glass-door","Stück öffnen")</f>
        <v/>
      </c>
      <c r="S100" t="inlineStr"/>
    </row>
    <row r="101">
      <c r="A101" t="inlineStr">
        <is>
          <t>TÜ 18</t>
        </is>
      </c>
      <c r="B101" t="inlineStr">
        <is>
          <t>Glastüren</t>
        </is>
      </c>
      <c r="C101" t="inlineStr">
        <is>
          <t>Glastür 83 × 197 cm, satiniert, inkl. Beschläge</t>
        </is>
      </c>
      <c r="D101" t="inlineStr">
        <is>
          <t>83 × 197 cm · satiniert · inkl. Beschläge</t>
        </is>
      </c>
      <c r="E101" t="inlineStr">
        <is>
          <t>verfügbar</t>
        </is>
      </c>
      <c r="F101" t="inlineStr">
        <is>
          <t>Katalogpreis 05/2025</t>
        </is>
      </c>
      <c r="G101" s="1" t="n">
        <v>150</v>
      </c>
      <c r="J101">
        <f>IF(OR(H101="",I101=""),"",ROUND(H101*I101/1000000,2))</f>
        <v/>
      </c>
      <c r="K101" s="1">
        <f>IF(G101="","",ROUND(G101*(1-IF(G101&lt;=300,Annahmen!$B$2,IF(G101&lt;=1000,Annahmen!$B$3,IF(G101&lt;=3000,Annahmen!$B$4,Annahmen!$B$5))))/Annahmen!$B$6,0)*Annahmen!$B$6)</f>
        <v/>
      </c>
      <c r="L101" s="2" t="n"/>
      <c r="M101" s="3">
        <f>IF(OR(G101="",L101=""),"",1-L101/G101)</f>
        <v/>
      </c>
      <c r="N101" t="n">
        <v>2</v>
      </c>
      <c r="O101" t="n">
        <v>3</v>
      </c>
      <c r="P101" s="1">
        <f>N101*Annahmen!$B$9</f>
        <v/>
      </c>
      <c r="Q101" s="1">
        <f>O101*Annahmen!$B$9</f>
        <v/>
      </c>
      <c r="R101">
        <f>HYPERLINK(Annahmen!$B$11&amp;"#artikel/t-18-glass-door","Stück öffnen")</f>
        <v/>
      </c>
      <c r="S101" t="inlineStr"/>
    </row>
    <row r="102">
      <c r="A102" t="inlineStr">
        <is>
          <t>TÜ 15 + TW 15</t>
        </is>
      </c>
      <c r="B102" t="inlineStr">
        <is>
          <t>Glastüren</t>
        </is>
      </c>
      <c r="C102" t="inlineStr">
        <is>
          <t>Glastür mit Seitenteil 101 × 196 cm</t>
        </is>
      </c>
      <c r="D102" t="inlineStr">
        <is>
          <t>101 × 196 cm · Türe und Seitenteil · Strukturglas</t>
        </is>
      </c>
      <c r="E102" t="inlineStr">
        <is>
          <t>verfügbar</t>
        </is>
      </c>
      <c r="F102" t="inlineStr">
        <is>
          <t>Katalogpreis 05/2025</t>
        </is>
      </c>
      <c r="G102" s="1" t="n">
        <v>300</v>
      </c>
      <c r="J102">
        <f>IF(OR(H102="",I102=""),"",ROUND(H102*I102/1000000,2))</f>
        <v/>
      </c>
      <c r="K102" s="1">
        <f>IF(G102="","",ROUND(G102*(1-IF(G102&lt;=300,Annahmen!$B$2,IF(G102&lt;=1000,Annahmen!$B$3,IF(G102&lt;=3000,Annahmen!$B$4,Annahmen!$B$5))))/Annahmen!$B$6,0)*Annahmen!$B$6)</f>
        <v/>
      </c>
      <c r="L102" s="2" t="n"/>
      <c r="M102" s="3">
        <f>IF(OR(G102="",L102=""),"",1-L102/G102)</f>
        <v/>
      </c>
      <c r="N102" t="n">
        <v>2</v>
      </c>
      <c r="O102" t="n">
        <v>3</v>
      </c>
      <c r="P102" s="1">
        <f>N102*Annahmen!$B$9</f>
        <v/>
      </c>
      <c r="Q102" s="1">
        <f>O102*Annahmen!$B$9</f>
        <v/>
      </c>
      <c r="R102">
        <f>HYPERLINK(Annahmen!$B$11&amp;"#artikel/t-15-tw-15-glass-door","Stück öffnen")</f>
        <v/>
      </c>
      <c r="S102" t="inlineStr"/>
    </row>
    <row r="103">
      <c r="A103" t="inlineStr">
        <is>
          <t>BI 02</t>
        </is>
      </c>
      <c r="B103" t="inlineStr">
        <is>
          <t>Glasbilder</t>
        </is>
      </c>
      <c r="C103" t="inlineStr">
        <is>
          <t>LED-Glasbild 72,5 × 143 cm, Blau, Holzrahmen</t>
        </is>
      </c>
      <c r="D103" t="inlineStr">
        <is>
          <t>72,5 × 143 cm · LED-Hinterleuchtung · Holzrahmen</t>
        </is>
      </c>
      <c r="E103" t="inlineStr">
        <is>
          <t>verfügbar</t>
        </is>
      </c>
      <c r="F103" t="inlineStr">
        <is>
          <t>Katalogpreis 05/2025</t>
        </is>
      </c>
      <c r="G103" s="1" t="n">
        <v>400</v>
      </c>
      <c r="J103">
        <f>IF(OR(H103="",I103=""),"",ROUND(H103*I103/1000000,2))</f>
        <v/>
      </c>
      <c r="K103" s="1">
        <f>IF(G103="","",ROUND(G103*(1-IF(G103&lt;=300,Annahmen!$B$2,IF(G103&lt;=1000,Annahmen!$B$3,IF(G103&lt;=3000,Annahmen!$B$4,Annahmen!$B$5))))/Annahmen!$B$6,0)*Annahmen!$B$6)</f>
        <v/>
      </c>
      <c r="L103" s="2" t="n"/>
      <c r="M103" s="3">
        <f>IF(OR(G103="",L103=""),"",1-L103/G103)</f>
        <v/>
      </c>
      <c r="N103" t="n">
        <v>0.5</v>
      </c>
      <c r="O103" t="n">
        <v>1</v>
      </c>
      <c r="P103" s="1">
        <f>N103*Annahmen!$B$9</f>
        <v/>
      </c>
      <c r="Q103" s="1">
        <f>O103*Annahmen!$B$9</f>
        <v/>
      </c>
      <c r="R103">
        <f>HYPERLINK(Annahmen!$B$11&amp;"#artikel/bi-02-glass-art-panel","Stück öffnen")</f>
        <v/>
      </c>
      <c r="S103" t="inlineStr"/>
    </row>
    <row r="104">
      <c r="A104" t="inlineStr">
        <is>
          <t>BI 01</t>
        </is>
      </c>
      <c r="B104" t="inlineStr">
        <is>
          <t>Glasbilder</t>
        </is>
      </c>
      <c r="C104" t="inlineStr">
        <is>
          <t>Glasbild 106 × 114 cm, Landschaft in Gelb und Blau</t>
        </is>
      </c>
      <c r="D104" t="inlineStr">
        <is>
          <t>106 × 114 cm · Holzrahmen</t>
        </is>
      </c>
      <c r="E104" t="inlineStr">
        <is>
          <t>verfügbar</t>
        </is>
      </c>
      <c r="F104" t="inlineStr">
        <is>
          <t>Katalogpreis 05/2025</t>
        </is>
      </c>
      <c r="G104" s="1" t="n">
        <v>650</v>
      </c>
      <c r="J104">
        <f>IF(OR(H104="",I104=""),"",ROUND(H104*I104/1000000,2))</f>
        <v/>
      </c>
      <c r="K104" s="1">
        <f>IF(G104="","",ROUND(G104*(1-IF(G104&lt;=300,Annahmen!$B$2,IF(G104&lt;=1000,Annahmen!$B$3,IF(G104&lt;=3000,Annahmen!$B$4,Annahmen!$B$5))))/Annahmen!$B$6,0)*Annahmen!$B$6)</f>
        <v/>
      </c>
      <c r="L104" s="2" t="n"/>
      <c r="M104" s="3">
        <f>IF(OR(G104="",L104=""),"",1-L104/G104)</f>
        <v/>
      </c>
      <c r="N104" t="n">
        <v>0.5</v>
      </c>
      <c r="O104" t="n">
        <v>1</v>
      </c>
      <c r="P104" s="1">
        <f>N104*Annahmen!$B$9</f>
        <v/>
      </c>
      <c r="Q104" s="1">
        <f>O104*Annahmen!$B$9</f>
        <v/>
      </c>
      <c r="R104">
        <f>HYPERLINK(Annahmen!$B$11&amp;"#artikel/bi-01-glass-art-panel","Stück öffnen")</f>
        <v/>
      </c>
      <c r="S104" t="inlineStr"/>
    </row>
    <row r="105">
      <c r="A105" t="inlineStr">
        <is>
          <t>BI 05</t>
        </is>
      </c>
      <c r="B105" t="inlineStr">
        <is>
          <t>Glasbilder</t>
        </is>
      </c>
      <c r="C105" t="inlineStr">
        <is>
          <t>LED-Glasbild 104 × 70 cm, Grün, Altholzrahmen</t>
        </is>
      </c>
      <c r="D105" t="inlineStr">
        <is>
          <t>104 × 70 cm · LED-Hinterleuchtung · Altholzrahmen</t>
        </is>
      </c>
      <c r="E105" t="inlineStr">
        <is>
          <t>verfügbar</t>
        </is>
      </c>
      <c r="F105" t="inlineStr">
        <is>
          <t>Katalogpreis 05/2025</t>
        </is>
      </c>
      <c r="G105" s="1" t="n">
        <v>200</v>
      </c>
      <c r="J105">
        <f>IF(OR(H105="",I105=""),"",ROUND(H105*I105/1000000,2))</f>
        <v/>
      </c>
      <c r="K105" s="1">
        <f>IF(G105="","",ROUND(G105*(1-IF(G105&lt;=300,Annahmen!$B$2,IF(G105&lt;=1000,Annahmen!$B$3,IF(G105&lt;=3000,Annahmen!$B$4,Annahmen!$B$5))))/Annahmen!$B$6,0)*Annahmen!$B$6)</f>
        <v/>
      </c>
      <c r="L105" s="2" t="n"/>
      <c r="M105" s="3">
        <f>IF(OR(G105="",L105=""),"",1-L105/G105)</f>
        <v/>
      </c>
      <c r="N105" t="n">
        <v>0.5</v>
      </c>
      <c r="O105" t="n">
        <v>1</v>
      </c>
      <c r="P105" s="1">
        <f>N105*Annahmen!$B$9</f>
        <v/>
      </c>
      <c r="Q105" s="1">
        <f>O105*Annahmen!$B$9</f>
        <v/>
      </c>
      <c r="R105">
        <f>HYPERLINK(Annahmen!$B$11&amp;"#artikel/bi-05-glass-art-panel","Stück öffnen")</f>
        <v/>
      </c>
      <c r="S105" t="inlineStr"/>
    </row>
    <row r="106">
      <c r="A106" t="inlineStr">
        <is>
          <t>BI 03</t>
        </is>
      </c>
      <c r="B106" t="inlineStr">
        <is>
          <t>Glasbilder</t>
        </is>
      </c>
      <c r="C106" t="inlineStr">
        <is>
          <t>Glasbild 104 × 70 cm, Blau-Grün, Altholzrahmen</t>
        </is>
      </c>
      <c r="D106" t="inlineStr">
        <is>
          <t>104 × 70 cm · Altholzrahmen</t>
        </is>
      </c>
      <c r="E106" t="inlineStr">
        <is>
          <t>verfügbar</t>
        </is>
      </c>
      <c r="F106" t="inlineStr">
        <is>
          <t>Katalogpreis 05/2025</t>
        </is>
      </c>
      <c r="G106" s="1" t="n">
        <v>300</v>
      </c>
      <c r="J106">
        <f>IF(OR(H106="",I106=""),"",ROUND(H106*I106/1000000,2))</f>
        <v/>
      </c>
      <c r="K106" s="1">
        <f>IF(G106="","",ROUND(G106*(1-IF(G106&lt;=300,Annahmen!$B$2,IF(G106&lt;=1000,Annahmen!$B$3,IF(G106&lt;=3000,Annahmen!$B$4,Annahmen!$B$5))))/Annahmen!$B$6,0)*Annahmen!$B$6)</f>
        <v/>
      </c>
      <c r="L106" s="2" t="n"/>
      <c r="M106" s="3">
        <f>IF(OR(G106="",L106=""),"",1-L106/G106)</f>
        <v/>
      </c>
      <c r="N106" t="n">
        <v>0.5</v>
      </c>
      <c r="O106" t="n">
        <v>1</v>
      </c>
      <c r="P106" s="1">
        <f>N106*Annahmen!$B$9</f>
        <v/>
      </c>
      <c r="Q106" s="1">
        <f>O106*Annahmen!$B$9</f>
        <v/>
      </c>
      <c r="R106">
        <f>HYPERLINK(Annahmen!$B$11&amp;"#artikel/bi-03-glass-art-panel","Stück öffnen")</f>
        <v/>
      </c>
      <c r="S106" t="inlineStr"/>
    </row>
    <row r="107">
      <c r="A107" t="inlineStr">
        <is>
          <t>BI 07</t>
        </is>
      </c>
      <c r="B107" t="inlineStr">
        <is>
          <t>Glasbilder</t>
        </is>
      </c>
      <c r="C107" t="inlineStr">
        <is>
          <t>Glasbild 133 × 113 cm mit Farbraster, Holzrahmen</t>
        </is>
      </c>
      <c r="D107" t="inlineStr">
        <is>
          <t>133 × 113 cm · Holzrahmen</t>
        </is>
      </c>
      <c r="E107" t="inlineStr">
        <is>
          <t>verfügbar</t>
        </is>
      </c>
      <c r="F107" t="inlineStr">
        <is>
          <t>Katalogpreis 05/2025</t>
        </is>
      </c>
      <c r="G107" s="1" t="n">
        <v>200</v>
      </c>
      <c r="J107">
        <f>IF(OR(H107="",I107=""),"",ROUND(H107*I107/1000000,2))</f>
        <v/>
      </c>
      <c r="K107" s="1">
        <f>IF(G107="","",ROUND(G107*(1-IF(G107&lt;=300,Annahmen!$B$2,IF(G107&lt;=1000,Annahmen!$B$3,IF(G107&lt;=3000,Annahmen!$B$4,Annahmen!$B$5))))/Annahmen!$B$6,0)*Annahmen!$B$6)</f>
        <v/>
      </c>
      <c r="L107" s="2" t="n"/>
      <c r="M107" s="3">
        <f>IF(OR(G107="",L107=""),"",1-L107/G107)</f>
        <v/>
      </c>
      <c r="N107" t="n">
        <v>0.5</v>
      </c>
      <c r="O107" t="n">
        <v>1</v>
      </c>
      <c r="P107" s="1">
        <f>N107*Annahmen!$B$9</f>
        <v/>
      </c>
      <c r="Q107" s="1">
        <f>O107*Annahmen!$B$9</f>
        <v/>
      </c>
      <c r="R107">
        <f>HYPERLINK(Annahmen!$B$11&amp;"#artikel/bi-07-glass-art-panel","Stück öffnen")</f>
        <v/>
      </c>
      <c r="S107" t="inlineStr"/>
    </row>
    <row r="108">
      <c r="A108" t="inlineStr">
        <is>
          <t>BI 06</t>
        </is>
      </c>
      <c r="B108" t="inlineStr">
        <is>
          <t>Glasbilder</t>
        </is>
      </c>
      <c r="C108" t="inlineStr">
        <is>
          <t>Glasbild 86 × 159 cm, Rot auf Dunkel, Altholzrahmen</t>
        </is>
      </c>
      <c r="D108" t="inlineStr">
        <is>
          <t>86 × 159 cm · Altholzrahmen</t>
        </is>
      </c>
      <c r="E108" t="inlineStr">
        <is>
          <t>verfügbar</t>
        </is>
      </c>
      <c r="F108" t="inlineStr">
        <is>
          <t>Katalogpreis 05/2025</t>
        </is>
      </c>
      <c r="G108" s="1" t="n">
        <v>400</v>
      </c>
      <c r="J108">
        <f>IF(OR(H108="",I108=""),"",ROUND(H108*I108/1000000,2))</f>
        <v/>
      </c>
      <c r="K108" s="1">
        <f>IF(G108="","",ROUND(G108*(1-IF(G108&lt;=300,Annahmen!$B$2,IF(G108&lt;=1000,Annahmen!$B$3,IF(G108&lt;=3000,Annahmen!$B$4,Annahmen!$B$5))))/Annahmen!$B$6,0)*Annahmen!$B$6)</f>
        <v/>
      </c>
      <c r="L108" s="2" t="n"/>
      <c r="M108" s="3">
        <f>IF(OR(G108="",L108=""),"",1-L108/G108)</f>
        <v/>
      </c>
      <c r="N108" t="n">
        <v>0.5</v>
      </c>
      <c r="O108" t="n">
        <v>1</v>
      </c>
      <c r="P108" s="1">
        <f>N108*Annahmen!$B$9</f>
        <v/>
      </c>
      <c r="Q108" s="1">
        <f>O108*Annahmen!$B$9</f>
        <v/>
      </c>
      <c r="R108">
        <f>HYPERLINK(Annahmen!$B$11&amp;"#artikel/bi-06-glass-art-panel","Stück öffnen")</f>
        <v/>
      </c>
      <c r="S108" t="inlineStr"/>
    </row>
    <row r="109">
      <c r="A109" t="inlineStr">
        <is>
          <t>BI 10</t>
        </is>
      </c>
      <c r="B109" t="inlineStr">
        <is>
          <t>Glasbilder</t>
        </is>
      </c>
      <c r="C109" t="inlineStr">
        <is>
          <t>Glasobjekt 59 × 73 cm aus Glasstäben</t>
        </is>
      </c>
      <c r="D109" t="inlineStr">
        <is>
          <t>59 × 73 cm · Glasstäbe · Wandhalter</t>
        </is>
      </c>
      <c r="E109" t="inlineStr">
        <is>
          <t>verfügbar</t>
        </is>
      </c>
      <c r="F109" t="inlineStr">
        <is>
          <t>Katalogpreis 05/2025</t>
        </is>
      </c>
      <c r="G109" s="1" t="n">
        <v>150</v>
      </c>
      <c r="J109">
        <f>IF(OR(H109="",I109=""),"",ROUND(H109*I109/1000000,2))</f>
        <v/>
      </c>
      <c r="K109" s="1">
        <f>IF(G109="","",ROUND(G109*(1-IF(G109&lt;=300,Annahmen!$B$2,IF(G109&lt;=1000,Annahmen!$B$3,IF(G109&lt;=3000,Annahmen!$B$4,Annahmen!$B$5))))/Annahmen!$B$6,0)*Annahmen!$B$6)</f>
        <v/>
      </c>
      <c r="L109" s="2" t="n"/>
      <c r="M109" s="3">
        <f>IF(OR(G109="",L109=""),"",1-L109/G109)</f>
        <v/>
      </c>
      <c r="N109" t="n">
        <v>0.5</v>
      </c>
      <c r="O109" t="n">
        <v>1</v>
      </c>
      <c r="P109" s="1">
        <f>N109*Annahmen!$B$9</f>
        <v/>
      </c>
      <c r="Q109" s="1">
        <f>O109*Annahmen!$B$9</f>
        <v/>
      </c>
      <c r="R109">
        <f>HYPERLINK(Annahmen!$B$11&amp;"#artikel/bi-10-glass-art-panel","Stück öffnen")</f>
        <v/>
      </c>
      <c r="S109" t="inlineStr"/>
    </row>
    <row r="110">
      <c r="A110" t="inlineStr">
        <is>
          <t>BI 09</t>
        </is>
      </c>
      <c r="B110" t="inlineStr">
        <is>
          <t>Glasbilder</t>
        </is>
      </c>
      <c r="C110" t="inlineStr">
        <is>
          <t>Glasrelief 72 × 74 cm mit Gitterstruktur</t>
        </is>
      </c>
      <c r="D110" t="inlineStr">
        <is>
          <t>72 × 74 cm · Strukturglas</t>
        </is>
      </c>
      <c r="E110" t="inlineStr">
        <is>
          <t>verfügbar</t>
        </is>
      </c>
      <c r="F110" t="inlineStr">
        <is>
          <t>Katalogpreis 05/2025</t>
        </is>
      </c>
      <c r="G110" s="1" t="n">
        <v>80</v>
      </c>
      <c r="J110">
        <f>IF(OR(H110="",I110=""),"",ROUND(H110*I110/1000000,2))</f>
        <v/>
      </c>
      <c r="K110" s="1">
        <f>IF(G110="","",ROUND(G110*(1-IF(G110&lt;=300,Annahmen!$B$2,IF(G110&lt;=1000,Annahmen!$B$3,IF(G110&lt;=3000,Annahmen!$B$4,Annahmen!$B$5))))/Annahmen!$B$6,0)*Annahmen!$B$6)</f>
        <v/>
      </c>
      <c r="L110" s="2" t="n"/>
      <c r="M110" s="3">
        <f>IF(OR(G110="",L110=""),"",1-L110/G110)</f>
        <v/>
      </c>
      <c r="N110" t="n">
        <v>0.5</v>
      </c>
      <c r="O110" t="n">
        <v>1</v>
      </c>
      <c r="P110" s="1">
        <f>N110*Annahmen!$B$9</f>
        <v/>
      </c>
      <c r="Q110" s="1">
        <f>O110*Annahmen!$B$9</f>
        <v/>
      </c>
      <c r="R110">
        <f>HYPERLINK(Annahmen!$B$11&amp;"#artikel/bi-09-glass-art-panel","Stück öffnen")</f>
        <v/>
      </c>
      <c r="S110" t="inlineStr"/>
    </row>
    <row r="111">
      <c r="A111" t="inlineStr">
        <is>
          <t>DIV 04</t>
        </is>
      </c>
      <c r="B111" t="inlineStr">
        <is>
          <t>Tische &amp; Möbel</t>
        </is>
      </c>
      <c r="C111" t="inlineStr">
        <is>
          <t>Badmöbel 94,5 × 200 cm mit Glastablaren</t>
        </is>
      </c>
      <c r="D111" t="inlineStr">
        <is>
          <t>94,5 × 200 cm · Glastablare blau · Spiegel</t>
        </is>
      </c>
      <c r="E111" t="inlineStr">
        <is>
          <t>verfügbar</t>
        </is>
      </c>
      <c r="F111" t="inlineStr">
        <is>
          <t>Aktionspreis Nov 2026 (bestätigt)</t>
        </is>
      </c>
      <c r="G111" s="1" t="n">
        <v>200</v>
      </c>
      <c r="J111">
        <f>IF(OR(H111="",I111=""),"",ROUND(H111*I111/1000000,2))</f>
        <v/>
      </c>
      <c r="K111" s="1">
        <f>G111</f>
        <v/>
      </c>
      <c r="L111" s="2" t="n"/>
      <c r="M111" s="3">
        <f>IF(OR(G111="",L111=""),"",1-L111/G111)</f>
        <v/>
      </c>
      <c r="N111" t="n">
        <v>1</v>
      </c>
      <c r="O111" t="n">
        <v>2</v>
      </c>
      <c r="P111" s="1">
        <f>N111*Annahmen!$B$9</f>
        <v/>
      </c>
      <c r="Q111" s="1">
        <f>O111*Annahmen!$B$9</f>
        <v/>
      </c>
      <c r="R111">
        <f>HYPERLINK(Annahmen!$B$11&amp;"#artikel/div-04-storage-cabinet","Stück öffnen")</f>
        <v/>
      </c>
      <c r="S111" t="inlineStr">
        <is>
          <t>Aktionspreis bereits bestätigt</t>
        </is>
      </c>
    </row>
    <row r="112">
      <c r="A112" t="inlineStr">
        <is>
          <t>DIV 05</t>
        </is>
      </c>
      <c r="B112" t="inlineStr">
        <is>
          <t>Zubehör</t>
        </is>
      </c>
      <c r="C112" t="inlineStr">
        <is>
          <t>Bartheke 213 × 180 cm mit Strukturglas-Platte</t>
        </is>
      </c>
      <c r="D112" t="inlineStr">
        <is>
          <t>213 × 180 cm · Glasplatte · Korpus schwarz</t>
        </is>
      </c>
      <c r="E112" t="inlineStr">
        <is>
          <t>verfügbar</t>
        </is>
      </c>
      <c r="F112" t="inlineStr">
        <is>
          <t>Katalogpreis 05/2025</t>
        </is>
      </c>
      <c r="G112" s="1" t="n">
        <v>1500</v>
      </c>
      <c r="J112">
        <f>IF(OR(H112="",I112=""),"",ROUND(H112*I112/1000000,2))</f>
        <v/>
      </c>
      <c r="K112" s="1">
        <f>IF(G112="","",ROUND(G112*(1-IF(G112&lt;=300,Annahmen!$B$2,IF(G112&lt;=1000,Annahmen!$B$3,IF(G112&lt;=3000,Annahmen!$B$4,Annahmen!$B$5))))/Annahmen!$B$6,0)*Annahmen!$B$6)</f>
        <v/>
      </c>
      <c r="L112" s="2" t="n"/>
      <c r="M112" s="3">
        <f>IF(OR(G112="",L112=""),"",1-L112/G112)</f>
        <v/>
      </c>
      <c r="N112" t="n">
        <v>2</v>
      </c>
      <c r="O112" t="n">
        <v>3</v>
      </c>
      <c r="P112" s="1">
        <f>N112*Annahmen!$B$9</f>
        <v/>
      </c>
      <c r="Q112" s="1">
        <f>O112*Annahmen!$B$9</f>
        <v/>
      </c>
      <c r="R112">
        <f>HYPERLINK(Annahmen!$B$11&amp;"#artikel/div-05-bar-unit","Stück öffnen")</f>
        <v/>
      </c>
      <c r="S112" t="inlineStr"/>
    </row>
    <row r="113">
      <c r="A113" t="inlineStr">
        <is>
          <t>DIV 06</t>
        </is>
      </c>
      <c r="B113" t="inlineStr">
        <is>
          <t>Zubehör</t>
        </is>
      </c>
      <c r="C113" t="inlineStr">
        <is>
          <t>Infrarotheizung 50 × 100 cm mit Handtuchhalter</t>
        </is>
      </c>
      <c r="D113" t="inlineStr">
        <is>
          <t>Infrarotheizung 50 × 100 cm · Handtuchhalter 62 × 16 cm · Komplettset</t>
        </is>
      </c>
      <c r="E113" t="inlineStr">
        <is>
          <t>verfügbar</t>
        </is>
      </c>
      <c r="F113" t="inlineStr">
        <is>
          <t>Katalogpreis 05/2025</t>
        </is>
      </c>
      <c r="G113" s="1" t="n">
        <v>300</v>
      </c>
      <c r="J113">
        <f>IF(OR(H113="",I113=""),"",ROUND(H113*I113/1000000,2))</f>
        <v/>
      </c>
      <c r="K113" s="1">
        <f>IF(G113="","",ROUND(G113*(1-IF(G113&lt;=300,Annahmen!$B$2,IF(G113&lt;=1000,Annahmen!$B$3,IF(G113&lt;=3000,Annahmen!$B$4,Annahmen!$B$5))))/Annahmen!$B$6,0)*Annahmen!$B$6)</f>
        <v/>
      </c>
      <c r="L113" s="2" t="n"/>
      <c r="M113" s="3">
        <f>IF(OR(G113="",L113=""),"",1-L113/G113)</f>
        <v/>
      </c>
      <c r="N113" t="n">
        <v>0.5</v>
      </c>
      <c r="O113" t="n">
        <v>1</v>
      </c>
      <c r="P113" s="1">
        <f>N113*Annahmen!$B$9</f>
        <v/>
      </c>
      <c r="Q113" s="1">
        <f>O113*Annahmen!$B$9</f>
        <v/>
      </c>
      <c r="R113">
        <f>HYPERLINK(Annahmen!$B$11&amp;"#artikel/div-06-infrared-heater-with-towel-rail","Stück öffnen")</f>
        <v/>
      </c>
      <c r="S113" t="inlineStr"/>
    </row>
    <row r="114">
      <c r="A114" t="inlineStr">
        <is>
          <t>DIV 15</t>
        </is>
      </c>
      <c r="B114" t="inlineStr">
        <is>
          <t>Zubehör</t>
        </is>
      </c>
      <c r="C114" t="inlineStr">
        <is>
          <t>Design-Siphon Schwarz matt</t>
        </is>
      </c>
      <c r="D114" t="inlineStr">
        <is>
          <t>Siphon · schwarz matt · für Waschtisch</t>
        </is>
      </c>
      <c r="E114" t="inlineStr">
        <is>
          <t>verfügbar</t>
        </is>
      </c>
      <c r="F114" t="inlineStr">
        <is>
          <t>Katalogpreis 05/2025</t>
        </is>
      </c>
      <c r="G114" s="1" t="n">
        <v>40</v>
      </c>
      <c r="J114">
        <f>IF(OR(H114="",I114=""),"",ROUND(H114*I114/1000000,2))</f>
        <v/>
      </c>
      <c r="K114" s="1">
        <f>IF(G114="","",ROUND(G114*(1-IF(G114&lt;=300,Annahmen!$B$2,IF(G114&lt;=1000,Annahmen!$B$3,IF(G114&lt;=3000,Annahmen!$B$4,Annahmen!$B$5))))/Annahmen!$B$6,0)*Annahmen!$B$6)</f>
        <v/>
      </c>
      <c r="L114" s="2" t="n"/>
      <c r="M114" s="3">
        <f>IF(OR(G114="",L114=""),"",1-L114/G114)</f>
        <v/>
      </c>
      <c r="N114" t="n">
        <v>0.5</v>
      </c>
      <c r="O114" t="n">
        <v>1</v>
      </c>
      <c r="P114" s="1">
        <f>N114*Annahmen!$B$9</f>
        <v/>
      </c>
      <c r="Q114" s="1">
        <f>O114*Annahmen!$B$9</f>
        <v/>
      </c>
      <c r="R114">
        <f>HYPERLINK(Annahmen!$B$11&amp;"#artikel/div-15-washbasin-trap","Stück öffnen")</f>
        <v/>
      </c>
      <c r="S114" t="inlineStr"/>
    </row>
    <row r="115">
      <c r="A115" t="inlineStr">
        <is>
          <t>DIV 16</t>
        </is>
      </c>
      <c r="B115" t="inlineStr">
        <is>
          <t>Zubehör</t>
        </is>
      </c>
      <c r="C115" t="inlineStr">
        <is>
          <t>Design-Siphon Chrom</t>
        </is>
      </c>
      <c r="D115" t="inlineStr">
        <is>
          <t>Siphon · chrom · für Waschtisch</t>
        </is>
      </c>
      <c r="E115" t="inlineStr">
        <is>
          <t>verfügbar</t>
        </is>
      </c>
      <c r="F115" t="inlineStr">
        <is>
          <t>Katalogpreis 05/2025</t>
        </is>
      </c>
      <c r="G115" s="1" t="n">
        <v>50</v>
      </c>
      <c r="J115">
        <f>IF(OR(H115="",I115=""),"",ROUND(H115*I115/1000000,2))</f>
        <v/>
      </c>
      <c r="K115" s="1">
        <f>IF(G115="","",ROUND(G115*(1-IF(G115&lt;=300,Annahmen!$B$2,IF(G115&lt;=1000,Annahmen!$B$3,IF(G115&lt;=3000,Annahmen!$B$4,Annahmen!$B$5))))/Annahmen!$B$6,0)*Annahmen!$B$6)</f>
        <v/>
      </c>
      <c r="L115" s="2" t="n"/>
      <c r="M115" s="3">
        <f>IF(OR(G115="",L115=""),"",1-L115/G115)</f>
        <v/>
      </c>
      <c r="N115" t="n">
        <v>0.5</v>
      </c>
      <c r="O115" t="n">
        <v>1</v>
      </c>
      <c r="P115" s="1">
        <f>N115*Annahmen!$B$9</f>
        <v/>
      </c>
      <c r="Q115" s="1">
        <f>O115*Annahmen!$B$9</f>
        <v/>
      </c>
      <c r="R115">
        <f>HYPERLINK(Annahmen!$B$11&amp;"#artikel/div-16-washbasin-trap","Stück öffnen")</f>
        <v/>
      </c>
      <c r="S115" t="inlineStr"/>
    </row>
    <row r="116">
      <c r="A116" t="inlineStr">
        <is>
          <t>DIV 08</t>
        </is>
      </c>
      <c r="B116" t="inlineStr">
        <is>
          <t>Zubehör</t>
        </is>
      </c>
      <c r="C116" t="inlineStr">
        <is>
          <t>Duschhocker Mineralguss, geschwungen</t>
        </is>
      </c>
      <c r="D116" t="inlineStr">
        <is>
          <t>42 × 23 cm · Mineralguss weiss</t>
        </is>
      </c>
      <c r="E116" t="inlineStr">
        <is>
          <t>verfügbar</t>
        </is>
      </c>
      <c r="F116" t="inlineStr">
        <is>
          <t>Katalogpreis 05/2025</t>
        </is>
      </c>
      <c r="G116" s="1" t="n">
        <v>150</v>
      </c>
      <c r="J116">
        <f>IF(OR(H116="",I116=""),"",ROUND(H116*I116/1000000,2))</f>
        <v/>
      </c>
      <c r="K116" s="1">
        <f>IF(G116="","",ROUND(G116*(1-IF(G116&lt;=300,Annahmen!$B$2,IF(G116&lt;=1000,Annahmen!$B$3,IF(G116&lt;=3000,Annahmen!$B$4,Annahmen!$B$5))))/Annahmen!$B$6,0)*Annahmen!$B$6)</f>
        <v/>
      </c>
      <c r="L116" s="2" t="n"/>
      <c r="M116" s="3">
        <f>IF(OR(G116="",L116=""),"",1-L116/G116)</f>
        <v/>
      </c>
      <c r="N116" t="n">
        <v>0.5</v>
      </c>
      <c r="O116" t="n">
        <v>1</v>
      </c>
      <c r="P116" s="1">
        <f>N116*Annahmen!$B$9</f>
        <v/>
      </c>
      <c r="Q116" s="1">
        <f>O116*Annahmen!$B$9</f>
        <v/>
      </c>
      <c r="R116">
        <f>HYPERLINK(Annahmen!$B$11&amp;"#artikel/div-08-mineral-cast-shower-stool","Stück öffnen")</f>
        <v/>
      </c>
      <c r="S116" t="inlineStr"/>
    </row>
    <row r="117">
      <c r="A117" t="inlineStr">
        <is>
          <t>DIV 07</t>
        </is>
      </c>
      <c r="B117" t="inlineStr">
        <is>
          <t>Zubehör</t>
        </is>
      </c>
      <c r="C117" t="inlineStr">
        <is>
          <t>Duschhocker Mineralguss, U-Form</t>
        </is>
      </c>
      <c r="D117" t="inlineStr">
        <is>
          <t>40 × 30 cm · Mineralguss weiss</t>
        </is>
      </c>
      <c r="E117" t="inlineStr">
        <is>
          <t>verfügbar</t>
        </is>
      </c>
      <c r="F117" t="inlineStr">
        <is>
          <t>Katalogpreis 05/2025</t>
        </is>
      </c>
      <c r="G117" s="1" t="n">
        <v>150</v>
      </c>
      <c r="J117">
        <f>IF(OR(H117="",I117=""),"",ROUND(H117*I117/1000000,2))</f>
        <v/>
      </c>
      <c r="K117" s="1">
        <f>IF(G117="","",ROUND(G117*(1-IF(G117&lt;=300,Annahmen!$B$2,IF(G117&lt;=1000,Annahmen!$B$3,IF(G117&lt;=3000,Annahmen!$B$4,Annahmen!$B$5))))/Annahmen!$B$6,0)*Annahmen!$B$6)</f>
        <v/>
      </c>
      <c r="L117" s="2" t="n"/>
      <c r="M117" s="3">
        <f>IF(OR(G117="",L117=""),"",1-L117/G117)</f>
        <v/>
      </c>
      <c r="N117" t="n">
        <v>0.5</v>
      </c>
      <c r="O117" t="n">
        <v>1</v>
      </c>
      <c r="P117" s="1">
        <f>N117*Annahmen!$B$9</f>
        <v/>
      </c>
      <c r="Q117" s="1">
        <f>O117*Annahmen!$B$9</f>
        <v/>
      </c>
      <c r="R117">
        <f>HYPERLINK(Annahmen!$B$11&amp;"#artikel/div-07-mineral-cast-shower-stool","Stück öffnen")</f>
        <v/>
      </c>
      <c r="S117" t="inlineStr"/>
    </row>
    <row r="118">
      <c r="A118" t="inlineStr">
        <is>
          <t>120 2760</t>
        </is>
      </c>
      <c r="B118" t="inlineStr">
        <is>
          <t>Zubehör</t>
        </is>
      </c>
      <c r="C118" t="inlineStr">
        <is>
          <t>Handtuchablage Chrom mit Stange</t>
        </is>
      </c>
      <c r="D118" t="inlineStr">
        <is>
          <t>Chrom · Modell 120 2760</t>
        </is>
      </c>
      <c r="E118" t="inlineStr">
        <is>
          <t>verfügbar</t>
        </is>
      </c>
      <c r="F118" t="inlineStr">
        <is>
          <t>Katalogpreis 05/2025</t>
        </is>
      </c>
      <c r="G118" s="1" t="n">
        <v>150</v>
      </c>
      <c r="J118">
        <f>IF(OR(H118="",I118=""),"",ROUND(H118*I118/1000000,2))</f>
        <v/>
      </c>
      <c r="K118" s="1">
        <f>IF(G118="","",ROUND(G118*(1-IF(G118&lt;=300,Annahmen!$B$2,IF(G118&lt;=1000,Annahmen!$B$3,IF(G118&lt;=3000,Annahmen!$B$4,Annahmen!$B$5))))/Annahmen!$B$6,0)*Annahmen!$B$6)</f>
        <v/>
      </c>
      <c r="L118" s="2" t="n"/>
      <c r="M118" s="3">
        <f>IF(OR(G118="",L118=""),"",1-L118/G118)</f>
        <v/>
      </c>
      <c r="N118" t="n">
        <v>0.5</v>
      </c>
      <c r="O118" t="n">
        <v>1</v>
      </c>
      <c r="P118" s="1">
        <f>N118*Annahmen!$B$9</f>
        <v/>
      </c>
      <c r="Q118" s="1">
        <f>O118*Annahmen!$B$9</f>
        <v/>
      </c>
      <c r="R118">
        <f>HYPERLINK(Annahmen!$B$11&amp;"#artikel/120-2760-towel-shelf","Stück öffnen")</f>
        <v/>
      </c>
      <c r="S118" t="inlineStr"/>
    </row>
    <row r="119">
      <c r="A119" t="inlineStr">
        <is>
          <t>Giese Provider</t>
        </is>
      </c>
      <c r="B119" t="inlineStr">
        <is>
          <t>Zubehör</t>
        </is>
      </c>
      <c r="C119" t="inlineStr">
        <is>
          <t>Handtuchhalter Giese Provider, 3-armig</t>
        </is>
      </c>
      <c r="D119" t="inlineStr">
        <is>
          <t>Giese Provider · 3 schwenkbare Arme</t>
        </is>
      </c>
      <c r="E119" t="inlineStr">
        <is>
          <t>verfügbar</t>
        </is>
      </c>
      <c r="F119" t="inlineStr">
        <is>
          <t>Katalogpreis 05/2025</t>
        </is>
      </c>
      <c r="G119" s="1" t="n">
        <v>300</v>
      </c>
      <c r="J119">
        <f>IF(OR(H119="",I119=""),"",ROUND(H119*I119/1000000,2))</f>
        <v/>
      </c>
      <c r="K119" s="1">
        <f>IF(G119="","",ROUND(G119*(1-IF(G119&lt;=300,Annahmen!$B$2,IF(G119&lt;=1000,Annahmen!$B$3,IF(G119&lt;=3000,Annahmen!$B$4,Annahmen!$B$5))))/Annahmen!$B$6,0)*Annahmen!$B$6)</f>
        <v/>
      </c>
      <c r="L119" s="2" t="n"/>
      <c r="M119" s="3">
        <f>IF(OR(G119="",L119=""),"",1-L119/G119)</f>
        <v/>
      </c>
      <c r="N119" t="n">
        <v>0.5</v>
      </c>
      <c r="O119" t="n">
        <v>1</v>
      </c>
      <c r="P119" s="1">
        <f>N119*Annahmen!$B$9</f>
        <v/>
      </c>
      <c r="Q119" s="1">
        <f>O119*Annahmen!$B$9</f>
        <v/>
      </c>
      <c r="R119">
        <f>HYPERLINK(Annahmen!$B$11&amp;"#artikel/giese-provider-towel-holder","Stück öffnen")</f>
        <v/>
      </c>
      <c r="S119" t="inlineStr"/>
    </row>
    <row r="120">
      <c r="A120" t="inlineStr">
        <is>
          <t>Shelf supports</t>
        </is>
      </c>
      <c r="B120" t="inlineStr">
        <is>
          <t>Zubehör</t>
        </is>
      </c>
      <c r="C120" t="inlineStr">
        <is>
          <t>Tablarträger Chrom, Paar</t>
        </is>
      </c>
      <c r="D120" t="inlineStr">
        <is>
          <t>Paar · 4 cm, 5 cm oder 10 cm · Preis pro Paar</t>
        </is>
      </c>
      <c r="E120" t="inlineStr">
        <is>
          <t>verfügbar</t>
        </is>
      </c>
      <c r="F120" t="inlineStr">
        <is>
          <t>Katalogpreis 05/2025</t>
        </is>
      </c>
      <c r="G120" s="1" t="n">
        <v>4</v>
      </c>
      <c r="J120">
        <f>IF(OR(H120="",I120=""),"",ROUND(H120*I120/1000000,2))</f>
        <v/>
      </c>
      <c r="K120" s="1">
        <f>IF(G120="","",ROUND(G120*(1-IF(G120&lt;=300,Annahmen!$B$2,IF(G120&lt;=1000,Annahmen!$B$3,IF(G120&lt;=3000,Annahmen!$B$4,Annahmen!$B$5))))/Annahmen!$B$6,0)*Annahmen!$B$6)</f>
        <v/>
      </c>
      <c r="L120" s="2" t="n"/>
      <c r="M120" s="3">
        <f>IF(OR(G120="",L120=""),"",1-L120/G120)</f>
        <v/>
      </c>
      <c r="N120" t="n">
        <v>0.5</v>
      </c>
      <c r="O120" t="n">
        <v>1</v>
      </c>
      <c r="P120" s="1">
        <f>N120*Annahmen!$B$9</f>
        <v/>
      </c>
      <c r="Q120" s="1">
        <f>O120*Annahmen!$B$9</f>
        <v/>
      </c>
      <c r="R120">
        <f>HYPERLINK(Annahmen!$B$11&amp;"#artikel/shelf-supports-shelf-supports","Stück öffnen")</f>
        <v/>
      </c>
      <c r="S120" t="inlineStr"/>
    </row>
    <row r="121">
      <c r="A121" t="inlineStr">
        <is>
          <t>CR-2070</t>
        </is>
      </c>
      <c r="B121" t="inlineStr">
        <is>
          <t>Zubehör</t>
        </is>
      </c>
      <c r="C121" t="inlineStr">
        <is>
          <t>Edelstahlkonsolen poliert CR-2070, Paar</t>
        </is>
      </c>
      <c r="D121" t="inlineStr">
        <is>
          <t>Länge 430/260 mm · poliert · Preis pro Paar</t>
        </is>
      </c>
      <c r="E121" t="inlineStr">
        <is>
          <t>verfügbar</t>
        </is>
      </c>
      <c r="F121" t="inlineStr">
        <is>
          <t>Katalogpreis 05/2025</t>
        </is>
      </c>
      <c r="G121" s="1" t="n">
        <v>200</v>
      </c>
      <c r="J121">
        <f>IF(OR(H121="",I121=""),"",ROUND(H121*I121/1000000,2))</f>
        <v/>
      </c>
      <c r="K121" s="1">
        <f>IF(G121="","",ROUND(G121*(1-IF(G121&lt;=300,Annahmen!$B$2,IF(G121&lt;=1000,Annahmen!$B$3,IF(G121&lt;=3000,Annahmen!$B$4,Annahmen!$B$5))))/Annahmen!$B$6,0)*Annahmen!$B$6)</f>
        <v/>
      </c>
      <c r="L121" s="2" t="n"/>
      <c r="M121" s="3">
        <f>IF(OR(G121="",L121=""),"",1-L121/G121)</f>
        <v/>
      </c>
      <c r="N121" t="n">
        <v>0.5</v>
      </c>
      <c r="O121" t="n">
        <v>1</v>
      </c>
      <c r="P121" s="1">
        <f>N121*Annahmen!$B$9</f>
        <v/>
      </c>
      <c r="Q121" s="1">
        <f>O121*Annahmen!$B$9</f>
        <v/>
      </c>
      <c r="R121">
        <f>HYPERLINK(Annahmen!$B$11&amp;"#artikel/cr-2070-polished-stainless-steel-brackets","Stück öffnen")</f>
        <v/>
      </c>
      <c r="S121" t="inlineStr"/>
    </row>
    <row r="122">
      <c r="A122" t="inlineStr">
        <is>
          <t>Steel brackets</t>
        </is>
      </c>
      <c r="B122" t="inlineStr">
        <is>
          <t>Zubehör</t>
        </is>
      </c>
      <c r="C122" t="inlineStr">
        <is>
          <t>Edelstahlkonsolen, Paar, Chrom oder Schwarz</t>
        </is>
      </c>
      <c r="D122" t="inlineStr">
        <is>
          <t>Chrom oder schwarz · Preis pro Paar</t>
        </is>
      </c>
      <c r="E122" t="inlineStr">
        <is>
          <t>verfügbar</t>
        </is>
      </c>
      <c r="F122" t="inlineStr">
        <is>
          <t>Katalogpreis 05/2025</t>
        </is>
      </c>
      <c r="G122" s="1" t="n">
        <v>80</v>
      </c>
      <c r="J122">
        <f>IF(OR(H122="",I122=""),"",ROUND(H122*I122/1000000,2))</f>
        <v/>
      </c>
      <c r="K122" s="1">
        <f>IF(G122="","",ROUND(G122*(1-IF(G122&lt;=300,Annahmen!$B$2,IF(G122&lt;=1000,Annahmen!$B$3,IF(G122&lt;=3000,Annahmen!$B$4,Annahmen!$B$5))))/Annahmen!$B$6,0)*Annahmen!$B$6)</f>
        <v/>
      </c>
      <c r="L122" s="2" t="n"/>
      <c r="M122" s="3">
        <f>IF(OR(G122="",L122=""),"",1-L122/G122)</f>
        <v/>
      </c>
      <c r="N122" t="n">
        <v>0.5</v>
      </c>
      <c r="O122" t="n">
        <v>1</v>
      </c>
      <c r="P122" s="1">
        <f>N122*Annahmen!$B$9</f>
        <v/>
      </c>
      <c r="Q122" s="1">
        <f>O122*Annahmen!$B$9</f>
        <v/>
      </c>
      <c r="R122">
        <f>HYPERLINK(Annahmen!$B$11&amp;"#artikel/steel-brackets-stainless-steel-brackets","Stück öffnen")</f>
        <v/>
      </c>
      <c r="S1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70" customWidth="1" min="3" max="3"/>
  </cols>
  <sheetData>
    <row r="1">
      <c r="A1" s="7" t="inlineStr">
        <is>
          <t>Annahme</t>
        </is>
      </c>
      <c r="B1" s="7" t="inlineStr">
        <is>
          <t>Wert</t>
        </is>
      </c>
      <c r="C1" s="7" t="inlineStr">
        <is>
          <t>Erläuterung</t>
        </is>
      </c>
    </row>
    <row r="2">
      <c r="A2" t="inlineStr">
        <is>
          <t>Rabatt bis CHF 300</t>
        </is>
      </c>
      <c r="B2" s="8" t="n">
        <v>0</v>
      </c>
      <c r="C2" t="inlineStr">
        <is>
          <t>Kleinteile: Preis bleibt. Problem ist Sichtbarkeit, nicht Preis.</t>
        </is>
      </c>
    </row>
    <row r="3">
      <c r="A3" t="inlineStr">
        <is>
          <t>Rabatt CHF 301–1000</t>
        </is>
      </c>
      <c r="B3" s="8" t="n">
        <v>0.2</v>
      </c>
      <c r="C3" t="inlineStr">
        <is>
          <t>Vorschlag. Anpassen und Spalte "Vorschlag" rechnet neu.</t>
        </is>
      </c>
    </row>
    <row r="4">
      <c r="A4" t="inlineStr">
        <is>
          <t>Rabatt CHF 1001–3000</t>
        </is>
      </c>
      <c r="B4" s="8" t="n">
        <v>0.25</v>
      </c>
      <c r="C4" t="inlineStr">
        <is>
          <t>Vorschlag.</t>
        </is>
      </c>
    </row>
    <row r="5">
      <c r="A5" t="inlineStr">
        <is>
          <t>Rabatt über CHF 3000</t>
        </is>
      </c>
      <c r="B5" s="8" t="n">
        <v>0.3</v>
      </c>
      <c r="C5" t="inlineStr">
        <is>
          <t>Vorschlag. Grosse Stücke stehen am längsten.</t>
        </is>
      </c>
    </row>
    <row r="6">
      <c r="A6" t="inlineStr">
        <is>
          <t>Rundung auf CHF</t>
        </is>
      </c>
      <c r="B6" s="9" t="n">
        <v>10</v>
      </c>
      <c r="C6" t="inlineStr">
        <is>
          <t>Vorschlagspreis wird auf diesen Betrag gerundet.</t>
        </is>
      </c>
    </row>
    <row r="7">
      <c r="A7" t="inlineStr">
        <is>
          <t>Glasplatten 8 mm, CHF pro m²</t>
        </is>
      </c>
      <c r="B7" s="9" t="n">
        <v>350</v>
      </c>
      <c r="C7" t="inlineStr">
        <is>
          <t>Annahme für Strukturglas dekorativ. Bitte vom Chef bestätigen.</t>
        </is>
      </c>
    </row>
    <row r="8">
      <c r="A8" t="inlineStr">
        <is>
          <t>Glasplatten 10 mm, CHF pro m²</t>
        </is>
      </c>
      <c r="B8" s="9" t="n">
        <v>420</v>
      </c>
      <c r="C8" t="inlineStr">
        <is>
          <t>Annahme. Bitte vom Chef bestätigen.</t>
        </is>
      </c>
    </row>
    <row r="9">
      <c r="A9" t="inlineStr">
        <is>
          <t>Montage CHF pro Stunde</t>
        </is>
      </c>
      <c r="B9" s="9" t="n">
        <v>220</v>
      </c>
      <c r="C9" t="inlineStr">
        <is>
          <t>Team mit 2 Personen, inkl. Werkzeug. Vorgabe.</t>
        </is>
      </c>
    </row>
    <row r="10">
      <c r="A10" t="inlineStr">
        <is>
          <t>Lieferung gratis ab Warenwert CHF</t>
        </is>
      </c>
      <c r="B10" s="9" t="n">
        <v>3000</v>
      </c>
      <c r="C10" t="inlineStr">
        <is>
          <t>Nur Lieferung ohne Montage, Zonen A–C.</t>
        </is>
      </c>
    </row>
    <row r="11">
      <c r="A11" t="inlineStr">
        <is>
          <t>Basis-URL Katalog</t>
        </is>
      </c>
      <c r="B11" s="9" t="inlineStr">
        <is>
          <t>https://higorvibecode.github.io/aktioncrea/</t>
        </is>
      </c>
      <c r="C11" t="inlineStr">
        <is>
          <t>Für die Links pro Stück. Anpassen, wenn die Seite unter einer anderen Adresse läuft.</t>
        </is>
      </c>
    </row>
    <row r="13">
      <c r="A13" t="inlineStr">
        <is>
          <t>Gelbe Zellen sind Entscheidungen. Alles andere rechnet automatisch.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66" customWidth="1" min="3" max="3"/>
    <col width="26" customWidth="1" min="4" max="4"/>
    <col width="24" customWidth="1" min="5" max="5"/>
    <col width="40" customWidth="1" min="6" max="6"/>
  </cols>
  <sheetData>
    <row r="1">
      <c r="A1" s="7" t="inlineStr">
        <is>
          <t>Zone</t>
        </is>
      </c>
      <c r="B1" s="7" t="inlineStr">
        <is>
          <t>Distanz ab Werk (Strasse)</t>
        </is>
      </c>
      <c r="C1" s="7" t="inlineStr">
        <is>
          <t>Beispielorte</t>
        </is>
      </c>
      <c r="D1" s="7" t="inlineStr">
        <is>
          <t>Lieferung ohne Montage CHF</t>
        </is>
      </c>
      <c r="E1" s="7" t="inlineStr">
        <is>
          <t>Anfahrt bei Montage CHF</t>
        </is>
      </c>
      <c r="F1" s="7" t="inlineStr">
        <is>
          <t>Regel</t>
        </is>
      </c>
    </row>
    <row r="2">
      <c r="A2" t="inlineStr">
        <is>
          <t>A</t>
        </is>
      </c>
      <c r="B2" t="inlineStr">
        <is>
          <t>bis 15 km</t>
        </is>
      </c>
      <c r="C2" t="inlineStr">
        <is>
          <t>Interlaken, Matten, Wilderswil, Bönigen, Ringgenberg, Beatenberg</t>
        </is>
      </c>
      <c r="D2" s="9" t="n">
        <v>90</v>
      </c>
      <c r="E2" s="9" t="n">
        <v>0</v>
      </c>
      <c r="F2" t="inlineStr">
        <is>
          <t>Lieferung gratis ab CHF 3000 Warenwert</t>
        </is>
      </c>
    </row>
    <row r="3">
      <c r="A3" t="inlineStr">
        <is>
          <t>B</t>
        </is>
      </c>
      <c r="B3" t="inlineStr">
        <is>
          <t>bis 40 km</t>
        </is>
      </c>
      <c r="C3" t="inlineStr">
        <is>
          <t>Thun, Spiez, Brienz, Meiringen, Grindelwald, Lauterbrunnen, Frutigen</t>
        </is>
      </c>
      <c r="D3" s="9" t="n">
        <v>160</v>
      </c>
      <c r="E3" s="9" t="n">
        <v>120</v>
      </c>
      <c r="F3" t="inlineStr">
        <is>
          <t>Lieferung gratis ab CHF 3000 Warenwert</t>
        </is>
      </c>
    </row>
    <row r="4">
      <c r="A4" t="inlineStr">
        <is>
          <t>C</t>
        </is>
      </c>
      <c r="B4" t="inlineStr">
        <is>
          <t>bis 80 km</t>
        </is>
      </c>
      <c r="C4" t="inlineStr">
        <is>
          <t>Bern, Burgdorf, Luzern, Zweisimmen, Gstaad</t>
        </is>
      </c>
      <c r="D4" s="9" t="n">
        <v>260</v>
      </c>
      <c r="E4" s="9" t="n">
        <v>240</v>
      </c>
      <c r="F4" t="inlineStr">
        <is>
          <t>Lieferung gratis ab CHF 3000 Warenwert</t>
        </is>
      </c>
    </row>
    <row r="5">
      <c r="A5" t="inlineStr">
        <is>
          <t>D</t>
        </is>
      </c>
      <c r="B5" t="inlineStr">
        <is>
          <t>über 80 km</t>
        </is>
      </c>
      <c r="C5" t="inlineStr">
        <is>
          <t>Zürich, Basel, Romandie, Wallis</t>
        </is>
      </c>
      <c r="D5" s="9" t="inlineStr">
        <is>
          <t>Offerte</t>
        </is>
      </c>
      <c r="E5" s="9" t="inlineStr">
        <is>
          <t>Offerte</t>
        </is>
      </c>
      <c r="F5" t="inlineStr">
        <is>
          <t>Individuell offerieren</t>
        </is>
      </c>
    </row>
    <row r="7">
      <c r="A7" s="10" t="inlineStr">
        <is>
          <t>Grundsätze (Vorschlag)</t>
        </is>
      </c>
    </row>
    <row r="8">
      <c r="A8" t="inlineStr">
        <is>
          <t>Abholung ab Werk Unterseen: kostenlos.</t>
        </is>
      </c>
    </row>
    <row r="9">
      <c r="A9" t="inlineStr">
        <is>
          <t>Lieferung ohne Montage: Pauschale pro Auftrag nach Zone. Gratis ab CHF 3000 Warenwert in den Zonen A–C.</t>
        </is>
      </c>
    </row>
    <row r="10">
      <c r="A10" t="inlineStr">
        <is>
          <t>Lieferung mit Montage: Lieferung immer inbegriffen. Anfahrtspauschale nach Zone plus Montagestunden × CHF 220.</t>
        </is>
      </c>
    </row>
    <row r="11">
      <c r="A11" t="inlineStr">
        <is>
          <t>Kleines Zubehör (Siphon, Konsolen, Tablarträger, Handtuchhalter): Postversand CHF 15.</t>
        </is>
      </c>
    </row>
    <row r="12">
      <c r="A12" t="inlineStr">
        <is>
          <t>Montagezeit: Fenster min–max pro Stück, siehe Blatt "Montagezeiten". Auf der Website wird die Spanne als Richtpreis gezeigt.</t>
        </is>
      </c>
    </row>
    <row r="13">
      <c r="A13" t="inlineStr">
        <is>
          <t>Sanitär- und Elektroanschlüsse: durch den Installateur des Kunden oder nach Absprache. Steht so auf der Website.</t>
        </is>
      </c>
    </row>
    <row r="14">
      <c r="A14" t="inlineStr">
        <is>
          <t>Alle Beträge sind Richtpreise. Crea-Glass bestätigt vor Auftrag. Die Website sagt das bei jedem Preis.</t>
        </is>
      </c>
    </row>
    <row r="16">
      <c r="A16" s="10" t="inlineStr">
        <is>
          <t>So wird das in der Schweiz üblicherweise gehandhabt (Erfahrungswerte, nicht recherchiert – Netzwerkzugriff war in dieser Sitzung gesperrt)</t>
        </is>
      </c>
    </row>
    <row r="17">
      <c r="A17" t="inlineStr">
        <is>
          <t>Handwerksbetriebe verrechnen Anfahrt als Pauschale pro Zone oder als Fahrzeit zum Stundensatz. Zonenpauschalen sind für Kunden verständlicher.</t>
        </is>
      </c>
    </row>
    <row r="18">
      <c r="A18" t="inlineStr">
        <is>
          <t>Sanitär-Ausstellungen liefern grössere Stücke meist mit Pauschale pro Auftrag; viele verzichten auf die Liefergebühr ab einem Warenwert (häufig CHF 2000–5000).</t>
        </is>
      </c>
    </row>
    <row r="19">
      <c r="A19" t="inlineStr">
        <is>
          <t>Montage-Stundensätze für ein Zweierteam im Glaserhandwerk liegen in der Region typischerweise bei CHF 180–260. CHF 220 liegt im Rahmen.</t>
        </is>
      </c>
    </row>
    <row r="20">
      <c r="A20" t="inlineStr">
        <is>
          <t>Empfehlung: Gratislieferung nur ohne Montage (als Kaufanreiz) und nur bis Zone C. Bei Montage ist die Lieferung ohnehin inbegriffen, dort braucht es keinen Zusatzrabatt.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0" customWidth="1" min="4" max="4"/>
    <col width="10" customWidth="1" min="5" max="5"/>
    <col width="54" customWidth="1" min="6" max="6"/>
    <col width="40" customWidth="1" min="7" max="7"/>
  </cols>
  <sheetData>
    <row r="1">
      <c r="A1" s="7" t="inlineStr">
        <is>
          <t>Produktgruppe</t>
        </is>
      </c>
      <c r="B1" s="7" t="inlineStr">
        <is>
          <t>Stunden min</t>
        </is>
      </c>
      <c r="C1" s="7" t="inlineStr">
        <is>
          <t>Stunden max</t>
        </is>
      </c>
      <c r="D1" s="7" t="inlineStr">
        <is>
          <t>CHF min</t>
        </is>
      </c>
      <c r="E1" s="7" t="inlineStr">
        <is>
          <t>CHF max</t>
        </is>
      </c>
      <c r="F1" s="7" t="inlineStr">
        <is>
          <t>Umfang</t>
        </is>
      </c>
      <c r="G1" s="7" t="inlineStr">
        <is>
          <t>Nicht enthalten</t>
        </is>
      </c>
    </row>
    <row r="2">
      <c r="A2" t="inlineStr">
        <is>
          <t>Glaswaschtisch ohne Möbel</t>
        </is>
      </c>
      <c r="B2" s="9" t="n">
        <v>1.5</v>
      </c>
      <c r="C2" s="9" t="n">
        <v>2.5</v>
      </c>
      <c r="D2">
        <f>B2*Annahmen!$B$9</f>
        <v/>
      </c>
      <c r="E2">
        <f>C2*Annahmen!$B$9</f>
        <v/>
      </c>
      <c r="F2" t="inlineStr">
        <is>
          <t>Konsolen setzen, Waschtisch montieren, ausrichten</t>
        </is>
      </c>
      <c r="G2" t="inlineStr">
        <is>
          <t>Wasseranschluss (Sanitär)</t>
        </is>
      </c>
    </row>
    <row r="3">
      <c r="A3" t="inlineStr">
        <is>
          <t>Glaswaschtisch mit Möbel / Komplettset</t>
        </is>
      </c>
      <c r="B3" s="9" t="n">
        <v>3</v>
      </c>
      <c r="C3" s="9" t="n">
        <v>4</v>
      </c>
      <c r="D3">
        <f>B3*Annahmen!$B$9</f>
        <v/>
      </c>
      <c r="E3">
        <f>C3*Annahmen!$B$9</f>
        <v/>
      </c>
      <c r="F3" t="inlineStr">
        <is>
          <t>Möbel stellen, Waschtisch montieren, LED anschliessen</t>
        </is>
      </c>
      <c r="G3" t="inlineStr">
        <is>
          <t>Wasseranschluss (Sanitär), Stromzuleitung</t>
        </is>
      </c>
    </row>
    <row r="4">
      <c r="A4" t="inlineStr">
        <is>
          <t>Dusche komplett</t>
        </is>
      </c>
      <c r="B4" s="9" t="n">
        <v>5</v>
      </c>
      <c r="C4" s="9" t="n">
        <v>8</v>
      </c>
      <c r="D4">
        <f>B4*Annahmen!$B$9</f>
        <v/>
      </c>
      <c r="E4">
        <f>C4*Annahmen!$B$9</f>
        <v/>
      </c>
      <c r="F4" t="inlineStr">
        <is>
          <t>Rückwände, Trennwände, Türen, Beschläge, Abdichtung Glas</t>
        </is>
      </c>
      <c r="G4" t="inlineStr">
        <is>
          <t>Armaturen, Bodenabdichtung, Sanitär</t>
        </is>
      </c>
    </row>
    <row r="5">
      <c r="A5" t="inlineStr">
        <is>
          <t>Duschtüre (Falt/Schiebe)</t>
        </is>
      </c>
      <c r="B5" s="9" t="n">
        <v>3</v>
      </c>
      <c r="C5" s="9" t="n">
        <v>4</v>
      </c>
      <c r="D5">
        <f>B5*Annahmen!$B$9</f>
        <v/>
      </c>
      <c r="E5">
        <f>C5*Annahmen!$B$9</f>
        <v/>
      </c>
      <c r="F5" t="inlineStr">
        <is>
          <t>Profile, Türe, Beschläge, Dichtungen</t>
        </is>
      </c>
      <c r="G5" t="inlineStr">
        <is>
          <t>Rückwände, Sanitär</t>
        </is>
      </c>
    </row>
    <row r="6">
      <c r="A6" t="inlineStr">
        <is>
          <t>Glastüre</t>
        </is>
      </c>
      <c r="B6" s="9" t="n">
        <v>2</v>
      </c>
      <c r="C6" s="9" t="n">
        <v>3</v>
      </c>
      <c r="D6">
        <f>B6*Annahmen!$B$9</f>
        <v/>
      </c>
      <c r="E6">
        <f>C6*Annahmen!$B$9</f>
        <v/>
      </c>
      <c r="F6" t="inlineStr">
        <is>
          <t>Beschläge, Türe einhängen, einstellen</t>
        </is>
      </c>
      <c r="G6" t="inlineStr">
        <is>
          <t>Zarge/Anpassung Mauerwerk</t>
        </is>
      </c>
    </row>
    <row r="7">
      <c r="A7" t="inlineStr">
        <is>
          <t>Glastrennwand</t>
        </is>
      </c>
      <c r="B7" s="9" t="n">
        <v>2</v>
      </c>
      <c r="C7" s="9" t="n">
        <v>4</v>
      </c>
      <c r="D7">
        <f>B7*Annahmen!$B$9</f>
        <v/>
      </c>
      <c r="E7">
        <f>C7*Annahmen!$B$9</f>
        <v/>
      </c>
      <c r="F7" t="inlineStr">
        <is>
          <t>Profile oder Punkthalter, Glas setzen, abdichten</t>
        </is>
      </c>
      <c r="G7" t="inlineStr">
        <is>
          <t>Bauliche Anpassungen</t>
        </is>
      </c>
    </row>
    <row r="8">
      <c r="A8" t="inlineStr">
        <is>
          <t>Neue Glasplatte (Einbau nach Aufmass)</t>
        </is>
      </c>
      <c r="B8" s="9" t="n">
        <v>2</v>
      </c>
      <c r="C8" s="9" t="n">
        <v>4</v>
      </c>
      <c r="D8">
        <f>B8*Annahmen!$B$9</f>
        <v/>
      </c>
      <c r="E8">
        <f>C8*Annahmen!$B$9</f>
        <v/>
      </c>
      <c r="F8" t="inlineStr">
        <is>
          <t>Aufmass, Halterung, Glas setzen</t>
        </is>
      </c>
      <c r="G8" t="inlineStr">
        <is>
          <t>Beschläge je nach Einsatz</t>
        </is>
      </c>
    </row>
    <row r="9">
      <c r="A9" t="inlineStr">
        <is>
          <t>Spiegel ohne LED</t>
        </is>
      </c>
      <c r="B9" s="9" t="n">
        <v>1</v>
      </c>
      <c r="C9" s="9" t="n">
        <v>1.5</v>
      </c>
      <c r="D9">
        <f>B9*Annahmen!$B$9</f>
        <v/>
      </c>
      <c r="E9">
        <f>C9*Annahmen!$B$9</f>
        <v/>
      </c>
      <c r="F9" t="inlineStr">
        <is>
          <t>Befestigung, ausrichten</t>
        </is>
      </c>
      <c r="G9" t="inlineStr"/>
    </row>
    <row r="10">
      <c r="A10" t="inlineStr">
        <is>
          <t>Spiegel mit LED</t>
        </is>
      </c>
      <c r="B10" s="9" t="n">
        <v>1.5</v>
      </c>
      <c r="C10" s="9" t="n">
        <v>2</v>
      </c>
      <c r="D10">
        <f>B10*Annahmen!$B$9</f>
        <v/>
      </c>
      <c r="E10">
        <f>C10*Annahmen!$B$9</f>
        <v/>
      </c>
      <c r="F10" t="inlineStr">
        <is>
          <t>Befestigung, Anschluss an vorhandene Zuleitung</t>
        </is>
      </c>
      <c r="G10" t="inlineStr">
        <is>
          <t>Stromzuleitung (Elektriker)</t>
        </is>
      </c>
    </row>
    <row r="11">
      <c r="A11" t="inlineStr">
        <is>
          <t>Glasbild</t>
        </is>
      </c>
      <c r="B11" s="9" t="n">
        <v>0.5</v>
      </c>
      <c r="C11" s="9" t="n">
        <v>1</v>
      </c>
      <c r="D11">
        <f>B11*Annahmen!$B$9</f>
        <v/>
      </c>
      <c r="E11">
        <f>C11*Annahmen!$B$9</f>
        <v/>
      </c>
      <c r="F11" t="inlineStr">
        <is>
          <t>Aufhängung, ausrichten</t>
        </is>
      </c>
      <c r="G11" t="inlineStr">
        <is>
          <t>Stromzuleitung bei LED</t>
        </is>
      </c>
    </row>
    <row r="12">
      <c r="A12" t="inlineStr">
        <is>
          <t>Tisch / Möbel</t>
        </is>
      </c>
      <c r="B12" s="9" t="n">
        <v>1</v>
      </c>
      <c r="C12" s="9" t="n">
        <v>2</v>
      </c>
      <c r="D12">
        <f>B12*Annahmen!$B$9</f>
        <v/>
      </c>
      <c r="E12">
        <f>C12*Annahmen!$B$9</f>
        <v/>
      </c>
      <c r="F12" t="inlineStr">
        <is>
          <t>Lieferung, aufstellen, ausrichten</t>
        </is>
      </c>
      <c r="G12" t="inlineStr"/>
    </row>
    <row r="13">
      <c r="A13" t="inlineStr">
        <is>
          <t>Bartheke</t>
        </is>
      </c>
      <c r="B13" s="9" t="n">
        <v>2</v>
      </c>
      <c r="C13" s="9" t="n">
        <v>3</v>
      </c>
      <c r="D13">
        <f>B13*Annahmen!$B$9</f>
        <v/>
      </c>
      <c r="E13">
        <f>C13*Annahmen!$B$9</f>
        <v/>
      </c>
      <c r="F13" t="inlineStr">
        <is>
          <t>Aufstellen, Glasplatte montieren</t>
        </is>
      </c>
      <c r="G13" t="inlineStr"/>
    </row>
    <row r="14">
      <c r="A14" t="inlineStr">
        <is>
          <t>Zubehör</t>
        </is>
      </c>
      <c r="B14" s="9" t="n">
        <v>0.5</v>
      </c>
      <c r="C14" s="9" t="n">
        <v>1</v>
      </c>
      <c r="D14">
        <f>B14*Annahmen!$B$9</f>
        <v/>
      </c>
      <c r="E14">
        <f>C14*Annahmen!$B$9</f>
        <v/>
      </c>
      <c r="F14" t="inlineStr">
        <is>
          <t>Montage an Wand oder Möbel</t>
        </is>
      </c>
      <c r="G14" t="inlineStr"/>
    </row>
    <row r="16">
      <c r="A16" t="inlineStr">
        <is>
          <t>Stunden sind Schätzungen für ein Zweierteam. Bitte mit der Montage abgleichen. Die Website nutzt dieselben Werte (services.js).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2026-10-30T21:16:07Z</dcterms:created>
  <dcterms:modified xmlns:dcterms="http://purl.org/dc/terms/" xmlns:xsi="http://www.w3.org/2001/XMLSchema-instance" xsi:type="dcterms:W3CDTF">2026-10-30T21:16:07Z</dcterms:modified>
</cp:coreProperties>
</file>